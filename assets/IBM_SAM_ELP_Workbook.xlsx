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Publisher_Comparison" sheetId="3" state="visible" r:id="rId3"/>
    <sheet xmlns:r="http://schemas.openxmlformats.org/officeDocument/2006/relationships" name="Risk_Status_Legend" sheetId="4" state="visible" r:id="rId4"/>
    <sheet xmlns:r="http://schemas.openxmlformats.org/officeDocument/2006/relationships" name="Stakeholder_Data_Request_Matrix" sheetId="5" state="visible" r:id="rId5"/>
    <sheet xmlns:r="http://schemas.openxmlformats.org/officeDocument/2006/relationships" name="Formula_Logic_Reference" sheetId="6" state="visible" r:id="rId6"/>
    <sheet xmlns:r="http://schemas.openxmlformats.org/officeDocument/2006/relationships" name="Status_Lookups" sheetId="7" state="visible" r:id="rId7"/>
    <sheet xmlns:r="http://schemas.openxmlformats.org/officeDocument/2006/relationships" name="IBM_Hardware_Inventory" sheetId="8" state="visible" r:id="rId8"/>
    <sheet xmlns:r="http://schemas.openxmlformats.org/officeDocument/2006/relationships" name="IBM_Software_Deployment" sheetId="9" state="visible" r:id="rId9"/>
    <sheet xmlns:r="http://schemas.openxmlformats.org/officeDocument/2006/relationships" name="IBM_Entitlements" sheetId="10" state="visible" r:id="rId10"/>
    <sheet xmlns:r="http://schemas.openxmlformats.org/officeDocument/2006/relationships" name="IBM_ELP_Reconciliation" sheetId="11" state="visible" r:id="rId11"/>
    <sheet xmlns:r="http://schemas.openxmlformats.org/officeDocument/2006/relationships" name="IBM_Assumptions_Exceptions" sheetId="12" state="visible" r:id="rId12"/>
    <sheet xmlns:r="http://schemas.openxmlformats.org/officeDocument/2006/relationships" name="IBM_FNMS_ELP" sheetId="13" state="visible" r:id="rId13"/>
    <sheet xmlns:r="http://schemas.openxmlformats.org/officeDocument/2006/relationships" name="IBM_ILMT_Input" sheetId="14" state="visible" r:id="rId14"/>
    <sheet xmlns:r="http://schemas.openxmlformats.org/officeDocument/2006/relationships" name="IBM_Exec_Summary" sheetId="15" state="visible" r:id="rId15"/>
    <sheet xmlns:r="http://schemas.openxmlformats.org/officeDocument/2006/relationships" name="IBM_PVU_Lookup" sheetId="16" state="visible" r:id="rId16"/>
  </sheets>
  <definedNames>
    <definedName name="_xlnm._FilterDatabase" localSheetId="0" hidden="1">'README'!$A$1:$C$5</definedName>
    <definedName name="_xlnm._FilterDatabase" localSheetId="1" hidden="1">'Glossary'!$A$1:$D$8</definedName>
    <definedName name="_xlnm._FilterDatabase" localSheetId="2" hidden="1">'Publisher_Comparison'!$A$1:$D$5</definedName>
    <definedName name="_xlnm._FilterDatabase" localSheetId="3" hidden="1">'Risk_Status_Legend'!$A$1:$C$4</definedName>
    <definedName name="_xlnm._FilterDatabase" localSheetId="4" hidden="1">'Stakeholder_Data_Request_Matrix'!$A$1:$F$7</definedName>
    <definedName name="_xlnm._FilterDatabase" localSheetId="5" hidden="1">'Formula_Logic_Reference'!$A$1:$D$7</definedName>
    <definedName name="_xlnm._FilterDatabase" localSheetId="6" hidden="1">'Status_Lookups'!$A$1:$D$4</definedName>
    <definedName name="_xlnm._FilterDatabase" localSheetId="7" hidden="1">'IBM_Hardware_Inventory'!$A$1:$O$5</definedName>
    <definedName name="_xlnm._FilterDatabase" localSheetId="8" hidden="1">'IBM_Software_Deployment'!$A$1:$L$5</definedName>
    <definedName name="_xlnm._FilterDatabase" localSheetId="9" hidden="1">'IBM_Entitlements'!$A$1:$L$6</definedName>
    <definedName name="_xlnm._FilterDatabase" localSheetId="10" hidden="1">'IBM_ELP_Reconciliation'!$A$1:$O$6</definedName>
    <definedName name="_xlnm._FilterDatabase" localSheetId="11" hidden="1">'IBM_Assumptions_Exceptions'!$A$1:$I$3</definedName>
    <definedName name="_xlnm._FilterDatabase" localSheetId="12" hidden="1">'IBM_FNMS_ELP'!$A$1:$R$3</definedName>
    <definedName name="_xlnm._FilterDatabase" localSheetId="13" hidden="1">'IBM_ILMT_Input'!$A$1:$K$4</definedName>
    <definedName name="_xlnm._FilterDatabase" localSheetId="14" hidden="1">'IBM_Exec_Summary'!$A$1:$C$17</definedName>
    <definedName name="_xlnm._FilterDatabase" localSheetId="15" hidden="1">'IBM_PVU_Lookup'!$A$1:$D$6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5145"/>
      </patternFill>
    </fill>
    <fill>
      <patternFill patternType="solid">
        <fgColor rgb="000062FE"/>
      </patternFill>
    </fill>
    <fill>
      <patternFill patternType="solid">
        <fgColor rgb="0000A4EF"/>
      </patternFill>
    </fill>
    <fill>
      <patternFill patternType="solid">
        <fgColor rgb="00F80000"/>
      </patternFill>
    </fill>
  </fills>
  <borders count="2">
    <border>
      <left/>
      <right/>
      <top/>
      <bottom/>
      <diagonal/>
    </border>
    <border>
      <bottom style="thin">
        <color rgb="00D9D2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IBM RAG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'IBM_Exec_Summary'!$A$5:$A$7</f>
            </numRef>
          </cat>
          <val>
            <numRef>
              <f>'IBM_Exec_Summary'!$B$5:$B$7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_Table" displayName="README_Table" ref="A1:C5" headerRowCount="1">
  <autoFilter ref="A1:C5"/>
  <tableColumns count="3">
    <tableColumn id="1" name="Area"/>
    <tableColumn id="2" name="Description"/>
    <tableColumn id="3" name="How to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lossary_Table" displayName="Glossary_Table" ref="A1:D8" headerRowCount="1">
  <autoFilter ref="A1:D8"/>
  <tableColumns count="4">
    <tableColumn id="1" name="Term"/>
    <tableColumn id="2" name="Publisher"/>
    <tableColumn id="3" name="Definition"/>
    <tableColumn id="4" name="Interview C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ublisher_Comparison_Table" displayName="Publisher_Comparison_Table" ref="A1:D5" headerRowCount="1">
  <autoFilter ref="A1:D5"/>
  <tableColumns count="4">
    <tableColumn id="1" name="Dimension"/>
    <tableColumn id="2" name="IBM"/>
    <tableColumn id="3" name="Microsoft"/>
    <tableColumn id="4" name="Orac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_Status_Legend_Table" displayName="Risk_Status_Legend_Table" ref="A1:C4" headerRowCount="1">
  <autoFilter ref="A1:C4"/>
  <tableColumns count="3">
    <tableColumn id="1" name="Status"/>
    <tableColumn id="2" name="Meaning"/>
    <tableColumn id="3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keholder_Data_Request_Matrix" displayName="Stakeholder_Data_Request_Matrix" ref="A1:F7" headerRowCount="1">
  <autoFilter ref="A1:F7"/>
  <tableColumns count="6">
    <tableColumn id="1" name="Publisher"/>
    <tableColumn id="2" name="Data Request"/>
    <tableColumn id="3" name="Owner"/>
    <tableColumn id="4" name="Manual Source"/>
    <tableColumn id="5" name="Expected Format"/>
    <tableColumn id="6" name="Valid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rmula_Logic_Reference_Table" displayName="Formula_Logic_Reference_Table" ref="A1:D7" headerRowCount="1">
  <autoFilter ref="A1:D7"/>
  <tableColumns count="4">
    <tableColumn id="1" name="Publisher"/>
    <tableColumn id="2" name="Use Case"/>
    <tableColumn id="3" name="Formula"/>
    <tableColumn id="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tus_Lookups_Table" displayName="Status_Lookups_Table" ref="A1:D4" headerRowCount="1">
  <autoFilter ref="A1:D4"/>
  <tableColumns count="4">
    <tableColumn id="1" name="Status"/>
    <tableColumn id="2" name="Color"/>
    <tableColumn id="3" name="Definition"/>
    <tableColumn id="4" name="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BM_Hardware_Table" displayName="IBM_Hardware_Table" ref="A1:O5" headerRowCount="1">
  <autoFilter ref="A1:O5"/>
  <tableColumns count="15">
    <tableColumn id="1" name="Server"/>
    <tableColumn id="2" name="Environment"/>
    <tableColumn id="3" name="Hypervisor"/>
    <tableColumn id="4" name="Cluster"/>
    <tableColumn id="5" name="CPU Model"/>
    <tableColumn id="6" name="Sockets"/>
    <tableColumn id="7" name="Cores/CPU"/>
    <tableColumn id="8" name="Total Cores"/>
    <tableColumn id="9" name="PVU/Core"/>
    <tableColumn id="10" name="Full Capacity PVU"/>
    <tableColumn id="11" name="VM Name"/>
    <tableColumn id="12" name="vCPU"/>
    <tableColumn id="13" name="Sub-Cap PVU"/>
    <tableColumn id="14" name="ILMT Covered"/>
    <tableColumn id="15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BM_Software_Table" displayName="IBM_Software_Table" ref="A1:L5" headerRowCount="1">
  <autoFilter ref="A1:L5"/>
  <tableColumns count="12">
    <tableColumn id="1" name="Server"/>
    <tableColumn id="2" name="Product"/>
    <tableColumn id="3" name="Edition"/>
    <tableColumn id="4" name="Version"/>
    <tableColumn id="5" name="Metric"/>
    <tableColumn id="6" name="Install Path"/>
    <tableColumn id="7" name="Evidence Source"/>
    <tableColumn id="8" name="IIM installed.xml Found"/>
    <tableColumn id="9" name="ILMT Signature"/>
    <tableColumn id="10" name="Environment"/>
    <tableColumn id="11" name="Owner"/>
    <tableColumn id="12" name="Review 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BM_Entitlements_Table" displayName="IBM_Entitlements_Table" ref="A1:L6" headerRowCount="1">
  <autoFilter ref="A1:L6"/>
  <tableColumns count="12">
    <tableColumn id="1" name="Product"/>
    <tableColumn id="2" name="Edition"/>
    <tableColumn id="3" name="Metric"/>
    <tableColumn id="4" name="Quantity"/>
    <tableColumn id="5" name="PA Site ID"/>
    <tableColumn id="6" name="PoE / Order"/>
    <tableColumn id="7" name="Part Number"/>
    <tableColumn id="8" name="S&amp;S Start"/>
    <tableColumn id="9" name="S&amp;S End"/>
    <tableColumn id="10" name="Version Right Through"/>
    <tableColumn id="11" name="Source"/>
    <tableColumn id="12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IBM_ELP_Table" displayName="IBM_ELP_Table" ref="A1:O6" headerRowCount="1">
  <autoFilter ref="A1:O6"/>
  <tableColumns count="15">
    <tableColumn id="1" name="Product"/>
    <tableColumn id="2" name="Edition"/>
    <tableColumn id="3" name="Metric"/>
    <tableColumn id="4" name="Consumption Basis"/>
    <tableColumn id="5" name="Consumed Qty"/>
    <tableColumn id="6" name="Entitled Qty"/>
    <tableColumn id="7" name="Position"/>
    <tableColumn id="8" name="Status"/>
    <tableColumn id="9" name="Version Compliance"/>
    <tableColumn id="10" name="S&amp;S Flag"/>
    <tableColumn id="11" name="ILMT / ILS Evidence"/>
    <tableColumn id="12" name="Exposure Estimate"/>
    <tableColumn id="13" name="Opportunity Estimate"/>
    <tableColumn id="14" name="Action Required"/>
    <tableColumn id="15" name="Narrativ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IBM_Assumptions_Table" displayName="IBM_Assumptions_Table" ref="A1:I3" headerRowCount="1">
  <autoFilter ref="A1:I3"/>
  <tableColumns count="9">
    <tableColumn id="1" name="ID"/>
    <tableColumn id="2" name="Area"/>
    <tableColumn id="3" name="Assumption / Exception"/>
    <tableColumn id="4" name="Impact"/>
    <tableColumn id="5" name="Risk"/>
    <tableColumn id="6" name="Owner"/>
    <tableColumn id="7" name="Evidence"/>
    <tableColumn id="8" name="Due Date"/>
    <tableColumn id="9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BM_FNMS_Table" displayName="IBM_FNMS_Table" ref="A1:R3" headerRowCount="1">
  <autoFilter ref="A1:R3"/>
  <tableColumns count="18">
    <tableColumn id="1" name="Source Device"/>
    <tableColumn id="2" name="Discovered Software"/>
    <tableColumn id="3" name="Recognized Application"/>
    <tableColumn id="4" name="Product"/>
    <tableColumn id="5" name="Edition"/>
    <tableColumn id="6" name="Version"/>
    <tableColumn id="7" name="Metric"/>
    <tableColumn id="8" name="Evidence Source"/>
    <tableColumn id="9" name="Inventory Source"/>
    <tableColumn id="10" name="Connector Status"/>
    <tableColumn id="11" name="Linked License"/>
    <tableColumn id="12" name="Entitlement Quantity"/>
    <tableColumn id="13" name="Consumed Quantity"/>
    <tableColumn id="14" name="Position"/>
    <tableColumn id="15" name="ARL/PURL Status"/>
    <tableColumn id="16" name="Reconciliation Status"/>
    <tableColumn id="17" name="Review Notes"/>
    <tableColumn id="18" name="Action Require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BM_ILMT_Table" displayName="IBM_ILMT_Table" ref="A1:K4" headerRowCount="1">
  <autoFilter ref="A1:K4"/>
  <tableColumns count="11">
    <tableColumn id="1" name="Computer"/>
    <tableColumn id="2" name="Product"/>
    <tableColumn id="3" name="Metric"/>
    <tableColumn id="4" name="PVU/Core"/>
    <tableColumn id="5" name="Allocated Cores"/>
    <tableColumn id="6" name="90-Day Peak PVU"/>
    <tableColumn id="7" name="Bundled/Charged"/>
    <tableColumn id="8" name="Agent Status"/>
    <tableColumn id="9" name="Last Scan"/>
    <tableColumn id="10" name="Quarterly Snapshot"/>
    <tableColumn id="11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BM_Exec_Table" displayName="IBM_Exec_Table" ref="A1:C17" headerRowCount="1">
  <autoFilter ref="A1:C17"/>
  <tableColumns count="3">
    <tableColumn id="1" name="Field"/>
    <tableColumn id="2" name="Value"/>
    <tableColumn id="3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BM_PVU_Lookup_Table" displayName="IBM_PVU_Lookup_Table" ref="A1:D6" headerRowCount="1">
  <autoFilter ref="A1:D6"/>
  <tableColumns count="4">
    <tableColumn id="1" name="Processor Family"/>
    <tableColumn id="2" name="Example Model"/>
    <tableColumn id="3" name="PVU/Core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</cols>
  <sheetData>
    <row r="1">
      <c r="A1" s="1" t="inlineStr">
        <is>
          <t>Area</t>
        </is>
      </c>
      <c r="B1" s="1" t="inlineStr">
        <is>
          <t>Description</t>
        </is>
      </c>
      <c r="C1" s="1" t="inlineStr">
        <is>
          <t>How to Use</t>
        </is>
      </c>
    </row>
    <row r="2">
      <c r="A2" s="2" t="inlineStr">
        <is>
          <t>Purpose</t>
        </is>
      </c>
      <c r="B2" s="2" t="inlineStr">
        <is>
          <t>Master SAM ELP workbook for IBM, Microsoft, and Oracle.</t>
        </is>
      </c>
      <c r="C2" s="2" t="inlineStr">
        <is>
          <t>Use as interview explanation aid and draft client ELP template.</t>
        </is>
      </c>
    </row>
    <row r="3">
      <c r="A3" s="2" t="inlineStr">
        <is>
          <t>Method</t>
        </is>
      </c>
      <c r="B3" s="2" t="inlineStr">
        <is>
          <t>Consumption minus entitlement by publisher-specific metric.</t>
        </is>
      </c>
      <c r="C3" s="2" t="inlineStr">
        <is>
          <t>Populate input tabs, review formula outputs, then validate assumptions.</t>
        </is>
      </c>
    </row>
    <row r="4">
      <c r="A4" s="2" t="inlineStr">
        <is>
          <t>Draft vs Final</t>
        </is>
      </c>
      <c r="B4" s="2" t="inlineStr">
        <is>
          <t>FNMS outputs are draft until health checks and cross-validation are complete.</t>
        </is>
      </c>
      <c r="C4" s="2" t="inlineStr">
        <is>
          <t>Use FNMS sheets for analyst review and Exec Summary for presentation.</t>
        </is>
      </c>
    </row>
    <row r="5">
      <c r="A5" s="2" t="inlineStr">
        <is>
          <t>Reporting Date</t>
        </is>
      </c>
      <c r="B5" s="2" t="inlineStr">
        <is>
          <t>2026-05-28</t>
        </is>
      </c>
      <c r="C5" s="2" t="inlineStr">
        <is>
          <t>Update executive summary placeholders for client delivery.</t>
        </is>
      </c>
    </row>
  </sheetData>
  <autoFilter ref="A1:C5"/>
  <conditionalFormatting sqref="A2:C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4" customWidth="1" min="4" max="4"/>
  </cols>
  <sheetData>
    <row r="1">
      <c r="A1" s="1" t="inlineStr">
        <is>
          <t>Term</t>
        </is>
      </c>
      <c r="B1" s="1" t="inlineStr">
        <is>
          <t>Publisher</t>
        </is>
      </c>
      <c r="C1" s="1" t="inlineStr">
        <is>
          <t>Definition</t>
        </is>
      </c>
      <c r="D1" s="1" t="inlineStr">
        <is>
          <t>Interview Cue</t>
        </is>
      </c>
    </row>
    <row r="2">
      <c r="A2" s="2" t="inlineStr">
        <is>
          <t>ELP</t>
        </is>
      </c>
      <c r="B2" s="2" t="inlineStr">
        <is>
          <t>All</t>
        </is>
      </c>
      <c r="C2" s="2" t="inlineStr">
        <is>
          <t>Effective License Position: entitlement minus consumption by product and metric.</t>
        </is>
      </c>
      <c r="D2" s="2" t="inlineStr">
        <is>
          <t>Always mention assumptions and evidence.</t>
        </is>
      </c>
    </row>
    <row r="3">
      <c r="A3" s="2" t="inlineStr">
        <is>
          <t>PVU</t>
        </is>
      </c>
      <c r="B3" s="2" t="inlineStr">
        <is>
          <t>IBM</t>
        </is>
      </c>
      <c r="C3" s="2" t="inlineStr">
        <is>
          <t>Processor Value Unit; cores multiplied by IBM PVU/core rating.</t>
        </is>
      </c>
      <c r="D3" s="2" t="inlineStr">
        <is>
          <t>Sub-cap requires ILMT.</t>
        </is>
      </c>
    </row>
    <row r="4">
      <c r="A4" s="2" t="inlineStr">
        <is>
          <t>VPC</t>
        </is>
      </c>
      <c r="B4" s="2" t="inlineStr">
        <is>
          <t>IBM</t>
        </is>
      </c>
      <c r="C4" s="2" t="inlineStr">
        <is>
          <t>Virtual Processor Core for Cloud Paks.</t>
        </is>
      </c>
      <c r="D4" s="2" t="inlineStr">
        <is>
          <t>Measured by IBM License Service.</t>
        </is>
      </c>
    </row>
    <row r="5">
      <c r="A5" s="2" t="inlineStr">
        <is>
          <t>CAL</t>
        </is>
      </c>
      <c r="B5" s="2" t="inlineStr">
        <is>
          <t>Microsoft</t>
        </is>
      </c>
      <c r="C5" s="2" t="inlineStr">
        <is>
          <t>Client Access License for user/device access to server products.</t>
        </is>
      </c>
      <c r="D5" s="2" t="inlineStr">
        <is>
          <t>Not installed, must reconcile entitlement.</t>
        </is>
      </c>
    </row>
    <row r="6">
      <c r="A6" s="2" t="inlineStr">
        <is>
          <t>NUP</t>
        </is>
      </c>
      <c r="B6" s="2" t="inlineStr">
        <is>
          <t>Oracle</t>
        </is>
      </c>
      <c r="C6" s="2" t="inlineStr">
        <is>
          <t>Named User Plus; actual users subject to processor minimums.</t>
        </is>
      </c>
      <c r="D6" s="2" t="inlineStr">
        <is>
          <t>Minimums can exceed actual users.</t>
        </is>
      </c>
    </row>
    <row r="7">
      <c r="A7" s="2" t="inlineStr">
        <is>
          <t>ARL</t>
        </is>
      </c>
      <c r="B7" s="2" t="inlineStr">
        <is>
          <t>FNMS</t>
        </is>
      </c>
      <c r="C7" s="2" t="inlineStr">
        <is>
          <t>Application Recognition Library normalizes evidence into applications.</t>
        </is>
      </c>
      <c r="D7" s="2" t="inlineStr">
        <is>
          <t>Stale ARL lowers confidence.</t>
        </is>
      </c>
    </row>
    <row r="8">
      <c r="A8" s="2" t="inlineStr">
        <is>
          <t>PURL</t>
        </is>
      </c>
      <c r="B8" s="2" t="inlineStr">
        <is>
          <t>FNMS</t>
        </is>
      </c>
      <c r="C8" s="2" t="inlineStr">
        <is>
          <t>Product Use Rights Library stores use rights logic.</t>
        </is>
      </c>
      <c r="D8" s="2" t="inlineStr">
        <is>
          <t>Stale PURL affects calculations.</t>
        </is>
      </c>
    </row>
  </sheetData>
  <autoFilter ref="A1:D8"/>
  <conditionalFormatting sqref="A2:D8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Dimension</t>
        </is>
      </c>
      <c r="B1" s="1" t="inlineStr">
        <is>
          <t>IBM</t>
        </is>
      </c>
      <c r="C1" s="1" t="inlineStr">
        <is>
          <t>Microsoft</t>
        </is>
      </c>
      <c r="D1" s="1" t="inlineStr">
        <is>
          <t>Oracle</t>
        </is>
      </c>
    </row>
    <row r="2">
      <c r="A2" s="2" t="inlineStr">
        <is>
          <t>Primary risk</t>
        </is>
      </c>
      <c r="B2" s="2" t="inlineStr">
        <is>
          <t>PVU sub-capacity, ILMT health, S&amp;S/version, edition mapping.</t>
        </is>
      </c>
      <c r="C2" s="2" t="inlineStr">
        <is>
          <t>SQL/Windows core logic, CALs, M365 assignment, AHB, true-up.</t>
        </is>
      </c>
      <c r="D2" s="2" t="inlineStr">
        <is>
          <t>VMware boundary, options/packs, Java employee, NUP minimums, ULA.</t>
        </is>
      </c>
    </row>
    <row r="3">
      <c r="A3" s="2" t="inlineStr">
        <is>
          <t>Official entitlement source</t>
        </is>
      </c>
      <c r="B3" s="2" t="inlineStr">
        <is>
          <t>Passport Advantage / PoE / PAA.</t>
        </is>
      </c>
      <c r="C3" s="2" t="inlineStr">
        <is>
          <t>EA/VLSC/MLS/CSP/MCA/reseller records.</t>
        </is>
      </c>
      <c r="D3" s="2" t="inlineStr">
        <is>
          <t>Ordering documents / OMA / CSI / support / ULA.</t>
        </is>
      </c>
    </row>
    <row r="4">
      <c r="A4" s="2" t="inlineStr">
        <is>
          <t>Tool caveat</t>
        </is>
      </c>
      <c r="B4" s="2" t="inlineStr">
        <is>
          <t>FNMS must be cross-checked with ILMT 90-day peak.</t>
        </is>
      </c>
      <c r="C4" s="2" t="inlineStr">
        <is>
          <t>FNMS must be cross-checked with admin portals and SQL evidence.</t>
        </is>
      </c>
      <c r="D4" s="2" t="inlineStr">
        <is>
          <t>FNMS must be cross-checked with DBA scripts and virtualization evidence.</t>
        </is>
      </c>
    </row>
    <row r="5">
      <c r="A5" s="2" t="inlineStr">
        <is>
          <t>Executive view</t>
        </is>
      </c>
      <c r="B5" s="2" t="inlineStr">
        <is>
          <t>RAG by product plus exposure/opportunity.</t>
        </is>
      </c>
      <c r="C5" s="2" t="inlineStr">
        <is>
          <t>RAG by SKU/server/cloud benefit.</t>
        </is>
      </c>
      <c r="D5" s="2" t="inlineStr">
        <is>
          <t>RAG by DB/options/Java/virtualization scenario.</t>
        </is>
      </c>
    </row>
  </sheetData>
  <autoFilter ref="A1:D5"/>
  <conditionalFormatting sqref="A2:D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Action</t>
        </is>
      </c>
    </row>
    <row r="2">
      <c r="A2" s="2" t="inlineStr">
        <is>
          <t>GREEN</t>
        </is>
      </c>
      <c r="B2" s="2" t="inlineStr">
        <is>
          <t>Compliant or surplus.</t>
        </is>
      </c>
      <c r="C2" s="2" t="inlineStr">
        <is>
          <t>Retain evidence and consider optimization.</t>
        </is>
      </c>
    </row>
    <row r="3">
      <c r="A3" s="2" t="inlineStr">
        <is>
          <t>AMBER</t>
        </is>
      </c>
      <c r="B3" s="2" t="inlineStr">
        <is>
          <t>Quantity may be okay but evidence, version, S&amp;S, or data confidence issue exists.</t>
        </is>
      </c>
      <c r="C3" s="2" t="inlineStr">
        <is>
          <t>Resolve assumptions before final report.</t>
        </is>
      </c>
    </row>
    <row r="4">
      <c r="A4" s="2" t="inlineStr">
        <is>
          <t>RED</t>
        </is>
      </c>
      <c r="B4" s="2" t="inlineStr">
        <is>
          <t>Consumption exceeds entitlement or unlicensed feature/use exists.</t>
        </is>
      </c>
      <c r="C4" s="2" t="inlineStr">
        <is>
          <t>Quantify exposure and remediation.</t>
        </is>
      </c>
    </row>
  </sheetData>
  <autoFilter ref="A1:C4"/>
  <conditionalFormatting sqref="A2:C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32" customWidth="1" min="4" max="4"/>
    <col width="17" customWidth="1" min="5" max="5"/>
    <col width="36" customWidth="1" min="6" max="6"/>
  </cols>
  <sheetData>
    <row r="1">
      <c r="A1" s="1" t="inlineStr">
        <is>
          <t>Publisher</t>
        </is>
      </c>
      <c r="B1" s="1" t="inlineStr">
        <is>
          <t>Data Request</t>
        </is>
      </c>
      <c r="C1" s="1" t="inlineStr">
        <is>
          <t>Owner</t>
        </is>
      </c>
      <c r="D1" s="1" t="inlineStr">
        <is>
          <t>Manual Source</t>
        </is>
      </c>
      <c r="E1" s="1" t="inlineStr">
        <is>
          <t>Expected Format</t>
        </is>
      </c>
      <c r="F1" s="1" t="inlineStr">
        <is>
          <t>Validation</t>
        </is>
      </c>
    </row>
    <row r="2">
      <c r="A2" s="2" t="inlineStr">
        <is>
          <t>IBM</t>
        </is>
      </c>
      <c r="B2" s="2" t="inlineStr">
        <is>
          <t>Physical server CPU and VM mapping</t>
        </is>
      </c>
      <c r="C2" s="2" t="inlineStr">
        <is>
          <t>Infrastructure / Virtualization</t>
        </is>
      </c>
      <c r="D2" s="2" t="inlineStr">
        <is>
          <t>lscpu, dmidecode, vCenter, HMC</t>
        </is>
      </c>
      <c r="E2" s="2" t="inlineStr">
        <is>
          <t>CSV/XLSX</t>
        </is>
      </c>
      <c r="F2" s="2" t="inlineStr">
        <is>
          <t>Matches ILMT/FNMS host records</t>
        </is>
      </c>
    </row>
    <row r="3">
      <c r="A3" s="2" t="inlineStr">
        <is>
          <t>IBM</t>
        </is>
      </c>
      <c r="B3" s="2" t="inlineStr">
        <is>
          <t>Passport Advantage entitlement export</t>
        </is>
      </c>
      <c r="C3" s="2" t="inlineStr">
        <is>
          <t>Procurement / SAM</t>
        </is>
      </c>
      <c r="D3" s="2" t="inlineStr">
        <is>
          <t>PA portal / PoE</t>
        </is>
      </c>
      <c r="E3" s="2" t="inlineStr">
        <is>
          <t>XLSX/PDF</t>
        </is>
      </c>
      <c r="F3" s="2" t="inlineStr">
        <is>
          <t>Part number, metric, quantity, S&amp;S</t>
        </is>
      </c>
    </row>
    <row r="4">
      <c r="A4" s="2" t="inlineStr">
        <is>
          <t>Microsoft</t>
        </is>
      </c>
      <c r="B4" s="2" t="inlineStr">
        <is>
          <t>M365 license and activity export</t>
        </is>
      </c>
      <c r="C4" s="2" t="inlineStr">
        <is>
          <t>M365 Admin</t>
        </is>
      </c>
      <c r="D4" s="2" t="inlineStr">
        <is>
          <t>Admin center / Graph</t>
        </is>
      </c>
      <c r="E4" s="2" t="inlineStr">
        <is>
          <t>CSV</t>
        </is>
      </c>
      <c r="F4" s="2" t="inlineStr">
        <is>
          <t>Active user and HR match</t>
        </is>
      </c>
    </row>
    <row r="5">
      <c r="A5" s="2" t="inlineStr">
        <is>
          <t>Microsoft</t>
        </is>
      </c>
      <c r="B5" s="2" t="inlineStr">
        <is>
          <t>SQL inventory and edition</t>
        </is>
      </c>
      <c r="C5" s="2" t="inlineStr">
        <is>
          <t>DBA / Platform</t>
        </is>
      </c>
      <c r="D5" s="2" t="inlineStr">
        <is>
          <t>SQL query exports</t>
        </is>
      </c>
      <c r="E5" s="2" t="inlineStr">
        <is>
          <t>CSV</t>
        </is>
      </c>
      <c r="F5" s="2" t="inlineStr">
        <is>
          <t>Edition/environment confirmed</t>
        </is>
      </c>
    </row>
    <row r="6">
      <c r="A6" s="2" t="inlineStr">
        <is>
          <t>Oracle</t>
        </is>
      </c>
      <c r="B6" s="2" t="inlineStr">
        <is>
          <t>DB options usage</t>
        </is>
      </c>
      <c r="C6" s="2" t="inlineStr">
        <is>
          <t>DBA</t>
        </is>
      </c>
      <c r="D6" s="2" t="inlineStr">
        <is>
          <t>DBA_FEATURE_USAGE_STATISTICS</t>
        </is>
      </c>
      <c r="E6" s="2" t="inlineStr">
        <is>
          <t>CSV</t>
        </is>
      </c>
      <c r="F6" s="2" t="inlineStr">
        <is>
          <t>Feature usage dates reviewed</t>
        </is>
      </c>
    </row>
    <row r="7">
      <c r="A7" s="2" t="inlineStr">
        <is>
          <t>Oracle</t>
        </is>
      </c>
      <c r="B7" s="2" t="inlineStr">
        <is>
          <t>VMware cluster boundary</t>
        </is>
      </c>
      <c r="C7" s="2" t="inlineStr">
        <is>
          <t>Virtualization</t>
        </is>
      </c>
      <c r="D7" s="2" t="inlineStr">
        <is>
          <t>vCenter export</t>
        </is>
      </c>
      <c r="E7" s="2" t="inlineStr">
        <is>
          <t>CSV/diagram</t>
        </is>
      </c>
      <c r="F7" s="2" t="inlineStr">
        <is>
          <t>Cluster/vCenter/affinity clear</t>
        </is>
      </c>
    </row>
  </sheetData>
  <autoFilter ref="A1:F7"/>
  <conditionalFormatting sqref="A2:F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</cols>
  <sheetData>
    <row r="1">
      <c r="A1" s="1" t="inlineStr">
        <is>
          <t>Publisher</t>
        </is>
      </c>
      <c r="B1" s="1" t="inlineStr">
        <is>
          <t>Use Case</t>
        </is>
      </c>
      <c r="C1" s="1" t="inlineStr">
        <is>
          <t>Formula</t>
        </is>
      </c>
      <c r="D1" s="1" t="inlineStr">
        <is>
          <t>Notes</t>
        </is>
      </c>
    </row>
    <row r="2">
      <c r="A2" s="2" t="inlineStr">
        <is>
          <t>IBM</t>
        </is>
      </c>
      <c r="B2" s="2" t="inlineStr">
        <is>
          <t>Full Capacity PVU</t>
        </is>
      </c>
      <c r="C2" s="2">
        <f>Sockets*Cores_per_CPU*PVU_per_Core</f>
        <v/>
      </c>
      <c r="D2" s="2" t="inlineStr">
        <is>
          <t>Use when bare metal or ILMT sub-cap not defensible.</t>
        </is>
      </c>
    </row>
    <row r="3">
      <c r="A3" s="2" t="inlineStr">
        <is>
          <t>IBM</t>
        </is>
      </c>
      <c r="B3" s="2" t="inlineStr">
        <is>
          <t>Sub-Capacity PVU</t>
        </is>
      </c>
      <c r="C3" s="2">
        <f>vCPU*PVU_per_Core</f>
        <v/>
      </c>
      <c r="D3" s="2" t="inlineStr">
        <is>
          <t>Requires healthy ILMT.</t>
        </is>
      </c>
    </row>
    <row r="4">
      <c r="A4" s="2" t="inlineStr">
        <is>
          <t>Microsoft</t>
        </is>
      </c>
      <c r="B4" s="2" t="inlineStr">
        <is>
          <t>Windows Server core</t>
        </is>
      </c>
      <c r="C4" s="2">
        <f>MAX(16,Physical_Cores)*Standard_Stack_Count</f>
        <v/>
      </c>
      <c r="D4" s="2" t="inlineStr">
        <is>
          <t>Standard stack depends on VM count.</t>
        </is>
      </c>
    </row>
    <row r="5">
      <c r="A5" s="2" t="inlineStr">
        <is>
          <t>Microsoft</t>
        </is>
      </c>
      <c r="B5" s="2" t="inlineStr">
        <is>
          <t>SQL VM core</t>
        </is>
      </c>
      <c r="C5" s="2">
        <f>MAX(4,vCPU)</f>
        <v/>
      </c>
      <c r="D5" s="2" t="inlineStr">
        <is>
          <t>Per VM minimum 4 cores.</t>
        </is>
      </c>
    </row>
    <row r="6">
      <c r="A6" s="2" t="inlineStr">
        <is>
          <t>Oracle</t>
        </is>
      </c>
      <c r="B6" s="2" t="inlineStr">
        <is>
          <t>Processor</t>
        </is>
      </c>
      <c r="C6" s="2">
        <f>Physical_Cores*Core_Factor</f>
        <v/>
      </c>
      <c r="D6" s="2" t="inlineStr">
        <is>
          <t>Licensing boundary may expand with virtualization.</t>
        </is>
      </c>
    </row>
    <row r="7">
      <c r="A7" s="2" t="inlineStr">
        <is>
          <t>Oracle</t>
        </is>
      </c>
      <c r="B7" s="2" t="inlineStr">
        <is>
          <t>NUP</t>
        </is>
      </c>
      <c r="C7" s="2">
        <f>MAX(Actual_Users,Processor_Licenses*NUP_Minimum)</f>
        <v/>
      </c>
      <c r="D7" s="2" t="inlineStr">
        <is>
          <t>Minimum can exceed actual users.</t>
        </is>
      </c>
    </row>
  </sheetData>
  <autoFilter ref="A1:D7"/>
  <conditionalFormatting sqref="A2:D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8" customWidth="1" min="4" max="4"/>
  </cols>
  <sheetData>
    <row r="1">
      <c r="A1" s="1" t="inlineStr">
        <is>
          <t>Status</t>
        </is>
      </c>
      <c r="B1" s="1" t="inlineStr">
        <is>
          <t>Color</t>
        </is>
      </c>
      <c r="C1" s="1" t="inlineStr">
        <is>
          <t>Definition</t>
        </is>
      </c>
      <c r="D1" s="1" t="inlineStr">
        <is>
          <t>Action</t>
        </is>
      </c>
    </row>
    <row r="2">
      <c r="A2" s="2" t="inlineStr">
        <is>
          <t>GREEN</t>
        </is>
      </c>
      <c r="B2" s="2" t="inlineStr">
        <is>
          <t>Green</t>
        </is>
      </c>
      <c r="C2" s="2" t="inlineStr">
        <is>
          <t>Compliant or surplus</t>
        </is>
      </c>
      <c r="D2" s="2" t="inlineStr">
        <is>
          <t>Retain evidence / optimize</t>
        </is>
      </c>
    </row>
    <row r="3">
      <c r="A3" s="2" t="inlineStr">
        <is>
          <t>AMBER</t>
        </is>
      </c>
      <c r="B3" s="2" t="inlineStr">
        <is>
          <t>Amber</t>
        </is>
      </c>
      <c r="C3" s="2" t="inlineStr">
        <is>
          <t>Evidence/version/control risk</t>
        </is>
      </c>
      <c r="D3" s="2" t="inlineStr">
        <is>
          <t>Validate before final</t>
        </is>
      </c>
    </row>
    <row r="4">
      <c r="A4" s="2" t="inlineStr">
        <is>
          <t>RED</t>
        </is>
      </c>
      <c r="B4" s="2" t="inlineStr">
        <is>
          <t>Red</t>
        </is>
      </c>
      <c r="C4" s="2" t="inlineStr">
        <is>
          <t>Under-licensed or unlicensed use</t>
        </is>
      </c>
      <c r="D4" s="2" t="inlineStr">
        <is>
          <t>Remediate / true-up</t>
        </is>
      </c>
    </row>
  </sheetData>
  <autoFilter ref="A1:D4"/>
  <conditionalFormatting sqref="A2:D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26" customWidth="1" min="5" max="5"/>
    <col width="12" customWidth="1" min="6" max="6"/>
    <col width="12" customWidth="1" min="7" max="7"/>
    <col width="13" customWidth="1" min="8" max="8"/>
    <col width="12" customWidth="1" min="9" max="9"/>
    <col width="19" customWidth="1" min="10" max="10"/>
    <col width="13" customWidth="1" min="11" max="11"/>
    <col width="12" customWidth="1" min="12" max="12"/>
    <col width="13" customWidth="1" min="13" max="13"/>
    <col width="14" customWidth="1" min="14" max="14"/>
    <col width="40" customWidth="1" min="15" max="15"/>
  </cols>
  <sheetData>
    <row r="1">
      <c r="A1" s="3" t="inlineStr">
        <is>
          <t>Server</t>
        </is>
      </c>
      <c r="B1" s="3" t="inlineStr">
        <is>
          <t>Environment</t>
        </is>
      </c>
      <c r="C1" s="3" t="inlineStr">
        <is>
          <t>Hypervisor</t>
        </is>
      </c>
      <c r="D1" s="3" t="inlineStr">
        <is>
          <t>Cluster</t>
        </is>
      </c>
      <c r="E1" s="3" t="inlineStr">
        <is>
          <t>CPU Model</t>
        </is>
      </c>
      <c r="F1" s="3" t="inlineStr">
        <is>
          <t>Sockets</t>
        </is>
      </c>
      <c r="G1" s="3" t="inlineStr">
        <is>
          <t>Cores/CPU</t>
        </is>
      </c>
      <c r="H1" s="3" t="inlineStr">
        <is>
          <t>Total Cores</t>
        </is>
      </c>
      <c r="I1" s="3" t="inlineStr">
        <is>
          <t>PVU/Core</t>
        </is>
      </c>
      <c r="J1" s="3" t="inlineStr">
        <is>
          <t>Full Capacity PVU</t>
        </is>
      </c>
      <c r="K1" s="3" t="inlineStr">
        <is>
          <t>VM Name</t>
        </is>
      </c>
      <c r="L1" s="3" t="inlineStr">
        <is>
          <t>vCPU</t>
        </is>
      </c>
      <c r="M1" s="3" t="inlineStr">
        <is>
          <t>Sub-Cap PVU</t>
        </is>
      </c>
      <c r="N1" s="3" t="inlineStr">
        <is>
          <t>ILMT Covered</t>
        </is>
      </c>
      <c r="O1" s="3" t="inlineStr">
        <is>
          <t>Notes</t>
        </is>
      </c>
    </row>
    <row r="2">
      <c r="A2" s="2" t="inlineStr">
        <is>
          <t>WAS-HOST-01</t>
        </is>
      </c>
      <c r="B2" s="2" t="inlineStr">
        <is>
          <t>Prod</t>
        </is>
      </c>
      <c r="C2" s="2" t="inlineStr">
        <is>
          <t>VMware</t>
        </is>
      </c>
      <c r="D2" s="2" t="inlineStr">
        <is>
          <t>CL-IBM-01</t>
        </is>
      </c>
      <c r="E2" s="2" t="inlineStr">
        <is>
          <t>Intel Xeon Gold 6248R</t>
        </is>
      </c>
      <c r="F2" s="2" t="n">
        <v>2</v>
      </c>
      <c r="G2" s="2" t="n">
        <v>24</v>
      </c>
      <c r="H2" s="2">
        <f>F2*G2</f>
        <v/>
      </c>
      <c r="I2" s="2" t="n">
        <v>70</v>
      </c>
      <c r="J2" s="2">
        <f>H2*I2</f>
        <v/>
      </c>
      <c r="K2" s="2" t="inlineStr">
        <is>
          <t>WAS-PROD-01</t>
        </is>
      </c>
      <c r="L2" s="2" t="n">
        <v>8</v>
      </c>
      <c r="M2" s="2">
        <f>L2*I2</f>
        <v/>
      </c>
      <c r="N2" s="2" t="inlineStr">
        <is>
          <t>Yes</t>
        </is>
      </c>
      <c r="O2" s="2" t="inlineStr">
        <is>
          <t>Sub-cap eligible if ILMT healthy</t>
        </is>
      </c>
    </row>
    <row r="3">
      <c r="A3" s="2" t="inlineStr">
        <is>
          <t>MQ-HOST-01</t>
        </is>
      </c>
      <c r="B3" s="2" t="inlineStr">
        <is>
          <t>Prod</t>
        </is>
      </c>
      <c r="C3" s="2" t="inlineStr">
        <is>
          <t>VMware</t>
        </is>
      </c>
      <c r="D3" s="2" t="inlineStr">
        <is>
          <t>CL-IBM-01</t>
        </is>
      </c>
      <c r="E3" s="2" t="inlineStr">
        <is>
          <t>Intel Xeon Platinum 8268</t>
        </is>
      </c>
      <c r="F3" s="2" t="n">
        <v>2</v>
      </c>
      <c r="G3" s="2" t="n">
        <v>24</v>
      </c>
      <c r="H3" s="2">
        <f>F3*G3</f>
        <v/>
      </c>
      <c r="I3" s="2" t="n">
        <v>70</v>
      </c>
      <c r="J3" s="2">
        <f>H3*I3</f>
        <v/>
      </c>
      <c r="K3" s="2" t="inlineStr">
        <is>
          <t>MQ-PROD-01</t>
        </is>
      </c>
      <c r="L3" s="2" t="n">
        <v>8</v>
      </c>
      <c r="M3" s="2">
        <f>L3*I3</f>
        <v/>
      </c>
      <c r="N3" s="2" t="inlineStr">
        <is>
          <t>Yes</t>
        </is>
      </c>
      <c r="O3" s="2" t="inlineStr">
        <is>
          <t>Validate 90-day peak</t>
        </is>
      </c>
    </row>
    <row r="4">
      <c r="A4" s="2" t="inlineStr">
        <is>
          <t>P9-HOST-01</t>
        </is>
      </c>
      <c r="B4" s="2" t="inlineStr">
        <is>
          <t>Prod</t>
        </is>
      </c>
      <c r="C4" s="2" t="inlineStr">
        <is>
          <t>PowerVM</t>
        </is>
      </c>
      <c r="D4" s="2" t="inlineStr">
        <is>
          <t>P9-Frame-A</t>
        </is>
      </c>
      <c r="E4" s="2" t="inlineStr">
        <is>
          <t>IBM POWER9</t>
        </is>
      </c>
      <c r="F4" s="2" t="n">
        <v>1</v>
      </c>
      <c r="G4" s="2" t="n">
        <v>12</v>
      </c>
      <c r="H4" s="2">
        <f>F4*G4</f>
        <v/>
      </c>
      <c r="I4" s="2" t="n">
        <v>120</v>
      </c>
      <c r="J4" s="2">
        <f>H4*I4</f>
        <v/>
      </c>
      <c r="K4" s="2" t="inlineStr">
        <is>
          <t>DB2-PROD</t>
        </is>
      </c>
      <c r="L4" s="2" t="n">
        <v>4</v>
      </c>
      <c r="M4" s="2">
        <f>L4*I4</f>
        <v/>
      </c>
      <c r="N4" s="2" t="inlineStr">
        <is>
          <t>Yes</t>
        </is>
      </c>
      <c r="O4" s="2" t="inlineStr">
        <is>
          <t>POWER PVU higher than Intel</t>
        </is>
      </c>
    </row>
    <row r="5">
      <c r="A5" s="2" t="inlineStr">
        <is>
          <t>WAS-HOST-DR</t>
        </is>
      </c>
      <c r="B5" s="2" t="inlineStr">
        <is>
          <t>DR</t>
        </is>
      </c>
      <c r="C5" s="2" t="inlineStr">
        <is>
          <t>VMware</t>
        </is>
      </c>
      <c r="D5" s="2" t="inlineStr">
        <is>
          <t>CL-IBM-DR</t>
        </is>
      </c>
      <c r="E5" s="2" t="inlineStr">
        <is>
          <t>Intel Xeon Gold 6248R</t>
        </is>
      </c>
      <c r="F5" s="2" t="n">
        <v>2</v>
      </c>
      <c r="G5" s="2" t="n">
        <v>24</v>
      </c>
      <c r="H5" s="2">
        <f>F5*G5</f>
        <v/>
      </c>
      <c r="I5" s="2" t="n">
        <v>70</v>
      </c>
      <c r="J5" s="2">
        <f>H5*I5</f>
        <v/>
      </c>
      <c r="K5" s="2" t="inlineStr">
        <is>
          <t>WAS-DR-01</t>
        </is>
      </c>
      <c r="L5" s="2" t="n">
        <v>4</v>
      </c>
      <c r="M5" s="2">
        <f>L5*I5</f>
        <v/>
      </c>
      <c r="N5" s="2" t="inlineStr">
        <is>
          <t>No</t>
        </is>
      </c>
      <c r="O5" s="2" t="inlineStr">
        <is>
          <t>Use full-cap fallback until ILMT fixed</t>
        </is>
      </c>
    </row>
  </sheetData>
  <autoFilter ref="A1:O5"/>
  <conditionalFormatting sqref="A2:O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7" customWidth="1" min="3" max="3"/>
    <col width="12" customWidth="1" min="4" max="4"/>
    <col width="12" customWidth="1" min="5" max="5"/>
    <col width="20" customWidth="1" min="6" max="6"/>
    <col width="19" customWidth="1" min="7" max="7"/>
    <col width="25" customWidth="1" min="8" max="8"/>
    <col width="16" customWidth="1" min="9" max="9"/>
    <col width="13" customWidth="1" min="10" max="10"/>
    <col width="13" customWidth="1" min="11" max="11"/>
    <col width="28" customWidth="1" min="12" max="12"/>
  </cols>
  <sheetData>
    <row r="1">
      <c r="A1" s="3" t="inlineStr">
        <is>
          <t>Server</t>
        </is>
      </c>
      <c r="B1" s="3" t="inlineStr">
        <is>
          <t>Product</t>
        </is>
      </c>
      <c r="C1" s="3" t="inlineStr">
        <is>
          <t>Edition</t>
        </is>
      </c>
      <c r="D1" s="3" t="inlineStr">
        <is>
          <t>Version</t>
        </is>
      </c>
      <c r="E1" s="3" t="inlineStr">
        <is>
          <t>Metric</t>
        </is>
      </c>
      <c r="F1" s="3" t="inlineStr">
        <is>
          <t>Install Path</t>
        </is>
      </c>
      <c r="G1" s="3" t="inlineStr">
        <is>
          <t>Evidence Source</t>
        </is>
      </c>
      <c r="H1" s="3" t="inlineStr">
        <is>
          <t>IIM installed.xml Found</t>
        </is>
      </c>
      <c r="I1" s="3" t="inlineStr">
        <is>
          <t>ILMT Signature</t>
        </is>
      </c>
      <c r="J1" s="3" t="inlineStr">
        <is>
          <t>Environment</t>
        </is>
      </c>
      <c r="K1" s="3" t="inlineStr">
        <is>
          <t>Owner</t>
        </is>
      </c>
      <c r="L1" s="3" t="inlineStr">
        <is>
          <t>Review Notes</t>
        </is>
      </c>
    </row>
    <row r="2">
      <c r="A2" s="2" t="inlineStr">
        <is>
          <t>WAS-PROD-01</t>
        </is>
      </c>
      <c r="B2" s="2" t="inlineStr">
        <is>
          <t>WebSphere Application Server</t>
        </is>
      </c>
      <c r="C2" s="2" t="inlineStr">
        <is>
          <t>Network Deployment</t>
        </is>
      </c>
      <c r="D2" s="2" t="inlineStr">
        <is>
          <t>9.0.5.14</t>
        </is>
      </c>
      <c r="E2" s="2" t="inlineStr">
        <is>
          <t>PVU</t>
        </is>
      </c>
      <c r="F2" s="2" t="inlineStr">
        <is>
          <t>/opt/IBM/WebSphere</t>
        </is>
      </c>
      <c r="G2" s="2" t="inlineStr">
        <is>
          <t>IIM installed.xml</t>
        </is>
      </c>
      <c r="H2" s="2" t="inlineStr">
        <is>
          <t>Yes</t>
        </is>
      </c>
      <c r="I2" s="2" t="inlineStr">
        <is>
          <t>Matched</t>
        </is>
      </c>
      <c r="J2" s="2" t="inlineStr">
        <is>
          <t>Prod</t>
        </is>
      </c>
      <c r="K2" s="2" t="inlineStr">
        <is>
          <t>Middleware</t>
        </is>
      </c>
      <c r="L2" s="2" t="inlineStr">
        <is>
          <t>Edition validated</t>
        </is>
      </c>
    </row>
    <row r="3">
      <c r="A3" s="2" t="inlineStr">
        <is>
          <t>MQ-PROD-01</t>
        </is>
      </c>
      <c r="B3" s="2" t="inlineStr">
        <is>
          <t>IBM MQ</t>
        </is>
      </c>
      <c r="C3" s="2" t="inlineStr">
        <is>
          <t>Advanced</t>
        </is>
      </c>
      <c r="D3" s="2" t="inlineStr">
        <is>
          <t>9.2</t>
        </is>
      </c>
      <c r="E3" s="2" t="inlineStr">
        <is>
          <t>PVU</t>
        </is>
      </c>
      <c r="F3" s="2" t="inlineStr">
        <is>
          <t>/opt/mqm</t>
        </is>
      </c>
      <c r="G3" s="2" t="inlineStr">
        <is>
          <t>ILMT + package</t>
        </is>
      </c>
      <c r="H3" s="2" t="inlineStr">
        <is>
          <t>No</t>
        </is>
      </c>
      <c r="I3" s="2" t="inlineStr">
        <is>
          <t>Matched</t>
        </is>
      </c>
      <c r="J3" s="2" t="inlineStr">
        <is>
          <t>Prod</t>
        </is>
      </c>
      <c r="K3" s="2" t="inlineStr">
        <is>
          <t>Integration</t>
        </is>
      </c>
      <c r="L3" s="2" t="inlineStr">
        <is>
          <t>Advanced features active</t>
        </is>
      </c>
    </row>
    <row r="4">
      <c r="A4" s="2" t="inlineStr">
        <is>
          <t>DB2-PROD</t>
        </is>
      </c>
      <c r="B4" s="2" t="inlineStr">
        <is>
          <t>Db2</t>
        </is>
      </c>
      <c r="C4" s="2" t="inlineStr">
        <is>
          <t>Enterprise Server Edition</t>
        </is>
      </c>
      <c r="D4" s="2" t="inlineStr">
        <is>
          <t>11.5</t>
        </is>
      </c>
      <c r="E4" s="2" t="inlineStr">
        <is>
          <t>PVU</t>
        </is>
      </c>
      <c r="F4" s="2" t="inlineStr">
        <is>
          <t>/db2inst1</t>
        </is>
      </c>
      <c r="G4" s="2" t="inlineStr">
        <is>
          <t>IIM installed.xml</t>
        </is>
      </c>
      <c r="H4" s="2" t="inlineStr">
        <is>
          <t>Yes</t>
        </is>
      </c>
      <c r="I4" s="2" t="inlineStr">
        <is>
          <t>Matched</t>
        </is>
      </c>
      <c r="J4" s="2" t="inlineStr">
        <is>
          <t>Prod</t>
        </is>
      </c>
      <c r="K4" s="2" t="inlineStr">
        <is>
          <t>DBA</t>
        </is>
      </c>
      <c r="L4" s="2" t="inlineStr">
        <is>
          <t>S&amp;S version check required</t>
        </is>
      </c>
    </row>
    <row r="5">
      <c r="A5" s="2" t="inlineStr">
        <is>
          <t>COGNOS-01</t>
        </is>
      </c>
      <c r="B5" s="2" t="inlineStr">
        <is>
          <t>Cognos Analytics</t>
        </is>
      </c>
      <c r="C5" s="2" t="inlineStr">
        <is>
          <t>Enterprise</t>
        </is>
      </c>
      <c r="D5" s="2" t="inlineStr">
        <is>
          <t>11.2</t>
        </is>
      </c>
      <c r="E5" s="2" t="inlineStr">
        <is>
          <t>AU</t>
        </is>
      </c>
      <c r="F5" s="2" t="inlineStr">
        <is>
          <t>/opt/ibm/cognos</t>
        </is>
      </c>
      <c r="G5" s="2" t="inlineStr">
        <is>
          <t>App owner export</t>
        </is>
      </c>
      <c r="H5" s="2" t="inlineStr">
        <is>
          <t>Yes</t>
        </is>
      </c>
      <c r="I5" s="2" t="inlineStr">
        <is>
          <t>Matched</t>
        </is>
      </c>
      <c r="J5" s="2" t="inlineStr">
        <is>
          <t>Prod</t>
        </is>
      </c>
      <c r="K5" s="2" t="inlineStr">
        <is>
          <t>Analytics</t>
        </is>
      </c>
      <c r="L5" s="2" t="inlineStr">
        <is>
          <t>Named user export loaded</t>
        </is>
      </c>
    </row>
  </sheetData>
  <autoFilter ref="A1:L5"/>
  <conditionalFormatting sqref="A2:L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2" customWidth="1" min="3" max="3"/>
    <col width="12" customWidth="1" min="4" max="4"/>
    <col width="12" customWidth="1" min="5" max="5"/>
    <col width="15" customWidth="1" min="6" max="6"/>
    <col width="13" customWidth="1" min="7" max="7"/>
    <col width="12" customWidth="1" min="8" max="8"/>
    <col width="12" customWidth="1" min="9" max="9"/>
    <col width="23" customWidth="1" min="10" max="10"/>
    <col width="20" customWidth="1" min="11" max="11"/>
    <col width="22" customWidth="1" min="12" max="12"/>
  </cols>
  <sheetData>
    <row r="1">
      <c r="A1" s="3" t="inlineStr">
        <is>
          <t>Product</t>
        </is>
      </c>
      <c r="B1" s="3" t="inlineStr">
        <is>
          <t>Edition</t>
        </is>
      </c>
      <c r="C1" s="3" t="inlineStr">
        <is>
          <t>Metric</t>
        </is>
      </c>
      <c r="D1" s="3" t="inlineStr">
        <is>
          <t>Quantity</t>
        </is>
      </c>
      <c r="E1" s="3" t="inlineStr">
        <is>
          <t>PA Site ID</t>
        </is>
      </c>
      <c r="F1" s="3" t="inlineStr">
        <is>
          <t>PoE / Order</t>
        </is>
      </c>
      <c r="G1" s="3" t="inlineStr">
        <is>
          <t>Part Number</t>
        </is>
      </c>
      <c r="H1" s="3" t="inlineStr">
        <is>
          <t>S&amp;S Start</t>
        </is>
      </c>
      <c r="I1" s="3" t="inlineStr">
        <is>
          <t>S&amp;S End</t>
        </is>
      </c>
      <c r="J1" s="3" t="inlineStr">
        <is>
          <t>Version Right Through</t>
        </is>
      </c>
      <c r="K1" s="3" t="inlineStr">
        <is>
          <t>Source</t>
        </is>
      </c>
      <c r="L1" s="3" t="inlineStr">
        <is>
          <t>Notes</t>
        </is>
      </c>
    </row>
    <row r="2">
      <c r="A2" s="2" t="inlineStr">
        <is>
          <t>WebSphere Application Server</t>
        </is>
      </c>
      <c r="B2" s="2" t="inlineStr">
        <is>
          <t>Network Deployment</t>
        </is>
      </c>
      <c r="C2" s="2" t="inlineStr">
        <is>
          <t>PVU</t>
        </is>
      </c>
      <c r="D2" s="2" t="n">
        <v>2000</v>
      </c>
      <c r="E2" s="2" t="inlineStr">
        <is>
          <t>PA-12345</t>
        </is>
      </c>
      <c r="F2" s="2" t="inlineStr">
        <is>
          <t>POE-WAS-2023</t>
        </is>
      </c>
      <c r="G2" s="2" t="inlineStr">
        <is>
          <t>D0ABCZX</t>
        </is>
      </c>
      <c r="H2" s="2" t="inlineStr">
        <is>
          <t>2025-01-01</t>
        </is>
      </c>
      <c r="I2" s="2" t="inlineStr">
        <is>
          <t>2026-12-31</t>
        </is>
      </c>
      <c r="J2" s="2" t="inlineStr">
        <is>
          <t>9.0.5</t>
        </is>
      </c>
      <c r="K2" s="2" t="inlineStr">
        <is>
          <t>Passport Advantage</t>
        </is>
      </c>
      <c r="L2" s="2" t="inlineStr">
        <is>
          <t>Official entitlement</t>
        </is>
      </c>
    </row>
    <row r="3">
      <c r="A3" s="2" t="inlineStr">
        <is>
          <t>IBM MQ</t>
        </is>
      </c>
      <c r="B3" s="2" t="inlineStr">
        <is>
          <t>Advanced</t>
        </is>
      </c>
      <c r="C3" s="2" t="inlineStr">
        <is>
          <t>PVU</t>
        </is>
      </c>
      <c r="D3" s="2" t="n">
        <v>1000</v>
      </c>
      <c r="E3" s="2" t="inlineStr">
        <is>
          <t>PA-12345</t>
        </is>
      </c>
      <c r="F3" s="2" t="inlineStr">
        <is>
          <t>POE-MQ-2024</t>
        </is>
      </c>
      <c r="G3" s="2" t="inlineStr">
        <is>
          <t>D0MQADV</t>
        </is>
      </c>
      <c r="H3" s="2" t="inlineStr">
        <is>
          <t>2025-01-01</t>
        </is>
      </c>
      <c r="I3" s="2" t="inlineStr">
        <is>
          <t>2026-12-31</t>
        </is>
      </c>
      <c r="J3" s="2" t="inlineStr">
        <is>
          <t>9.3</t>
        </is>
      </c>
      <c r="K3" s="2" t="inlineStr">
        <is>
          <t>Passport Advantage</t>
        </is>
      </c>
      <c r="L3" s="2" t="inlineStr">
        <is>
          <t>Surplus</t>
        </is>
      </c>
    </row>
    <row r="4">
      <c r="A4" s="2" t="inlineStr">
        <is>
          <t>Db2</t>
        </is>
      </c>
      <c r="B4" s="2" t="inlineStr">
        <is>
          <t>Enterprise Server Edition</t>
        </is>
      </c>
      <c r="C4" s="2" t="inlineStr">
        <is>
          <t>PVU</t>
        </is>
      </c>
      <c r="D4" s="2" t="n">
        <v>1200</v>
      </c>
      <c r="E4" s="2" t="inlineStr">
        <is>
          <t>PA-12345</t>
        </is>
      </c>
      <c r="F4" s="2" t="inlineStr">
        <is>
          <t>POE-DB2-2020</t>
        </is>
      </c>
      <c r="G4" s="2" t="inlineStr">
        <is>
          <t>D0DB2ESE</t>
        </is>
      </c>
      <c r="H4" s="2" t="inlineStr">
        <is>
          <t>2020-01-01</t>
        </is>
      </c>
      <c r="I4" s="2" t="inlineStr">
        <is>
          <t>2022-12-31</t>
        </is>
      </c>
      <c r="J4" s="2" t="inlineStr">
        <is>
          <t>11.1</t>
        </is>
      </c>
      <c r="K4" s="2" t="inlineStr">
        <is>
          <t>Passport Advantage</t>
        </is>
      </c>
      <c r="L4" s="2" t="inlineStr">
        <is>
          <t>S&amp;S lapsed</t>
        </is>
      </c>
    </row>
    <row r="5">
      <c r="A5" s="2" t="inlineStr">
        <is>
          <t>Cognos Analytics</t>
        </is>
      </c>
      <c r="B5" s="2" t="inlineStr">
        <is>
          <t>Enterprise</t>
        </is>
      </c>
      <c r="C5" s="2" t="inlineStr">
        <is>
          <t>AU</t>
        </is>
      </c>
      <c r="D5" s="2" t="n">
        <v>300</v>
      </c>
      <c r="E5" s="2" t="inlineStr">
        <is>
          <t>PA-12345</t>
        </is>
      </c>
      <c r="F5" s="2" t="inlineStr">
        <is>
          <t>POE-COG-2024</t>
        </is>
      </c>
      <c r="G5" s="2" t="inlineStr">
        <is>
          <t>D0COGAU</t>
        </is>
      </c>
      <c r="H5" s="2" t="inlineStr">
        <is>
          <t>2025-01-01</t>
        </is>
      </c>
      <c r="I5" s="2" t="inlineStr">
        <is>
          <t>2026-12-31</t>
        </is>
      </c>
      <c r="J5" s="2" t="inlineStr">
        <is>
          <t>11.2</t>
        </is>
      </c>
      <c r="K5" s="2" t="inlineStr">
        <is>
          <t>Passport Advantage</t>
        </is>
      </c>
      <c r="L5" s="2" t="inlineStr">
        <is>
          <t>Named users</t>
        </is>
      </c>
    </row>
    <row r="6">
      <c r="A6" s="2" t="inlineStr">
        <is>
          <t>SPSS Statistics</t>
        </is>
      </c>
      <c r="B6" s="2" t="inlineStr">
        <is>
          <t>Concurrent</t>
        </is>
      </c>
      <c r="C6" s="2" t="inlineStr">
        <is>
          <t>Concurrent</t>
        </is>
      </c>
      <c r="D6" s="2" t="n">
        <v>25</v>
      </c>
      <c r="E6" s="2" t="inlineStr">
        <is>
          <t>PA-12345</t>
        </is>
      </c>
      <c r="F6" s="2" t="inlineStr">
        <is>
          <t>POE-SPSS-2024</t>
        </is>
      </c>
      <c r="G6" s="2" t="inlineStr">
        <is>
          <t>D0SPSSCU</t>
        </is>
      </c>
      <c r="H6" s="2" t="inlineStr">
        <is>
          <t>2025-01-01</t>
        </is>
      </c>
      <c r="I6" s="2" t="inlineStr">
        <is>
          <t>2026-12-31</t>
        </is>
      </c>
      <c r="J6" s="2" t="inlineStr">
        <is>
          <t>29</t>
        </is>
      </c>
      <c r="K6" s="2" t="inlineStr">
        <is>
          <t>Passport Advantage</t>
        </is>
      </c>
      <c r="L6" s="2" t="inlineStr">
        <is>
          <t>License server</t>
        </is>
      </c>
    </row>
  </sheetData>
  <autoFilter ref="A1:L6"/>
  <conditionalFormatting sqref="A2:L6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2" customWidth="1" min="3" max="3"/>
    <col width="38" customWidth="1" min="4" max="4"/>
    <col width="14" customWidth="1" min="5" max="5"/>
    <col width="14" customWidth="1" min="6" max="6"/>
    <col width="12" customWidth="1" min="7" max="7"/>
    <col width="48" customWidth="1" min="8" max="8"/>
    <col width="20" customWidth="1" min="9" max="9"/>
    <col width="12" customWidth="1" min="10" max="10"/>
    <col width="21" customWidth="1" min="11" max="11"/>
    <col width="26" customWidth="1" min="12" max="12"/>
    <col width="22" customWidth="1" min="13" max="13"/>
    <col width="31" customWidth="1" min="14" max="14"/>
    <col width="48" customWidth="1" min="15" max="15"/>
  </cols>
  <sheetData>
    <row r="1">
      <c r="A1" s="3" t="inlineStr">
        <is>
          <t>Product</t>
        </is>
      </c>
      <c r="B1" s="3" t="inlineStr">
        <is>
          <t>Edition</t>
        </is>
      </c>
      <c r="C1" s="3" t="inlineStr">
        <is>
          <t>Metric</t>
        </is>
      </c>
      <c r="D1" s="3" t="inlineStr">
        <is>
          <t>Consumption Basis</t>
        </is>
      </c>
      <c r="E1" s="3" t="inlineStr">
        <is>
          <t>Consumed Qty</t>
        </is>
      </c>
      <c r="F1" s="3" t="inlineStr">
        <is>
          <t>Entitled Qty</t>
        </is>
      </c>
      <c r="G1" s="3" t="inlineStr">
        <is>
          <t>Position</t>
        </is>
      </c>
      <c r="H1" s="3" t="inlineStr">
        <is>
          <t>Status</t>
        </is>
      </c>
      <c r="I1" s="3" t="inlineStr">
        <is>
          <t>Version Compliance</t>
        </is>
      </c>
      <c r="J1" s="3" t="inlineStr">
        <is>
          <t>S&amp;S Flag</t>
        </is>
      </c>
      <c r="K1" s="3" t="inlineStr">
        <is>
          <t>ILMT / ILS Evidence</t>
        </is>
      </c>
      <c r="L1" s="3" t="inlineStr">
        <is>
          <t>Exposure Estimate</t>
        </is>
      </c>
      <c r="M1" s="3" t="inlineStr">
        <is>
          <t>Opportunity Estimate</t>
        </is>
      </c>
      <c r="N1" s="3" t="inlineStr">
        <is>
          <t>Action Required</t>
        </is>
      </c>
      <c r="O1" s="3" t="inlineStr">
        <is>
          <t>Narrative</t>
        </is>
      </c>
    </row>
    <row r="2">
      <c r="A2" s="2" t="inlineStr">
        <is>
          <t>WebSphere Application Server</t>
        </is>
      </c>
      <c r="B2" s="2" t="inlineStr">
        <is>
          <t>Network Deployment</t>
        </is>
      </c>
      <c r="C2" s="2" t="inlineStr">
        <is>
          <t>PVU</t>
        </is>
      </c>
      <c r="D2" s="2" t="inlineStr">
        <is>
          <t>Full-cap fallback due to DR ILMT gap</t>
        </is>
      </c>
      <c r="E2" s="2" t="n">
        <v>3360</v>
      </c>
      <c r="F2" s="2" t="n">
        <v>2000</v>
      </c>
      <c r="G2" s="2">
        <f>F2-E2</f>
        <v/>
      </c>
      <c r="H2" s="2">
        <f>IF(G2&lt;0,"RED",IF(OR(I2&lt;&gt;"OK",J2&lt;&gt;"Current",K2="Missing"),"AMBER","GREEN"))</f>
        <v/>
      </c>
      <c r="I2" s="2" t="inlineStr">
        <is>
          <t>OK</t>
        </is>
      </c>
      <c r="J2" s="2" t="inlineStr">
        <is>
          <t>Current</t>
        </is>
      </c>
      <c r="K2" s="2" t="inlineStr">
        <is>
          <t>Partial</t>
        </is>
      </c>
      <c r="L2" s="2">
        <f>IF(G2&lt;0,ABS(G2)*250,0)</f>
        <v/>
      </c>
      <c r="M2" s="2">
        <f>IF(G2&gt;0,G2*125,0)</f>
        <v/>
      </c>
      <c r="N2" s="2" t="inlineStr">
        <is>
          <t>Fix ILMT and validate sub-cap</t>
        </is>
      </c>
      <c r="O2" s="2" t="inlineStr">
        <is>
          <t>Under-licensed exposure until sub-cap evidence is defensible</t>
        </is>
      </c>
    </row>
    <row r="3">
      <c r="A3" s="2" t="inlineStr">
        <is>
          <t>IBM MQ</t>
        </is>
      </c>
      <c r="B3" s="2" t="inlineStr">
        <is>
          <t>Advanced</t>
        </is>
      </c>
      <c r="C3" s="2" t="inlineStr">
        <is>
          <t>PVU</t>
        </is>
      </c>
      <c r="D3" s="2" t="inlineStr">
        <is>
          <t>8 vCPU x 70</t>
        </is>
      </c>
      <c r="E3" s="2" t="n">
        <v>560</v>
      </c>
      <c r="F3" s="2" t="n">
        <v>1000</v>
      </c>
      <c r="G3" s="2">
        <f>F3-E3</f>
        <v/>
      </c>
      <c r="H3" s="2">
        <f>IF(G3&lt;0,"RED",IF(OR(I3&lt;&gt;"OK",J3&lt;&gt;"Current",K3="Missing"),"AMBER","GREEN"))</f>
        <v/>
      </c>
      <c r="I3" s="2" t="inlineStr">
        <is>
          <t>OK</t>
        </is>
      </c>
      <c r="J3" s="2" t="inlineStr">
        <is>
          <t>Current</t>
        </is>
      </c>
      <c r="K3" s="2" t="inlineStr">
        <is>
          <t>Present</t>
        </is>
      </c>
      <c r="L3" s="2">
        <f>IF(G3&lt;0,ABS(G3)*220,0)</f>
        <v/>
      </c>
      <c r="M3" s="2">
        <f>IF(G3&gt;0,G3*110,0)</f>
        <v/>
      </c>
      <c r="N3" s="2" t="inlineStr">
        <is>
          <t>Optimization review</t>
        </is>
      </c>
      <c r="O3" s="2" t="inlineStr">
        <is>
          <t>Surplus opportunity</t>
        </is>
      </c>
    </row>
    <row r="4">
      <c r="A4" s="2" t="inlineStr">
        <is>
          <t>Db2</t>
        </is>
      </c>
      <c r="B4" s="2" t="inlineStr">
        <is>
          <t>Enterprise Server Edition</t>
        </is>
      </c>
      <c r="C4" s="2" t="inlineStr">
        <is>
          <t>PVU</t>
        </is>
      </c>
      <c r="D4" s="2" t="inlineStr">
        <is>
          <t>10 LPAR cores x 120</t>
        </is>
      </c>
      <c r="E4" s="2" t="n">
        <v>1200</v>
      </c>
      <c r="F4" s="2" t="n">
        <v>1200</v>
      </c>
      <c r="G4" s="2">
        <f>F4-E4</f>
        <v/>
      </c>
      <c r="H4" s="2">
        <f>IF(G4&lt;0,"RED",IF(OR(I4&lt;&gt;"OK",J4&lt;&gt;"Current",K4="Missing"),"AMBER","GREEN"))</f>
        <v/>
      </c>
      <c r="I4" s="2" t="inlineStr">
        <is>
          <t>Version risk</t>
        </is>
      </c>
      <c r="J4" s="2" t="inlineStr">
        <is>
          <t>Lapsed</t>
        </is>
      </c>
      <c r="K4" s="2" t="inlineStr">
        <is>
          <t>Present</t>
        </is>
      </c>
      <c r="L4" s="2">
        <f>IF(G4&lt;0,ABS(G4)*300,0)</f>
        <v/>
      </c>
      <c r="M4" s="2">
        <f>IF(G4&gt;0,G4*150,0)</f>
        <v/>
      </c>
      <c r="N4" s="2" t="inlineStr">
        <is>
          <t>Validate release date vs S&amp;S</t>
        </is>
      </c>
      <c r="O4" s="2" t="inlineStr">
        <is>
          <t>Quantity aligned but S&amp;S/version warning</t>
        </is>
      </c>
    </row>
    <row r="5">
      <c r="A5" s="2" t="inlineStr">
        <is>
          <t>Cognos Analytics</t>
        </is>
      </c>
      <c r="B5" s="2" t="inlineStr">
        <is>
          <t>Enterprise</t>
        </is>
      </c>
      <c r="C5" s="2" t="inlineStr">
        <is>
          <t>AU</t>
        </is>
      </c>
      <c r="D5" s="2" t="inlineStr">
        <is>
          <t>Named active users</t>
        </is>
      </c>
      <c r="E5" s="2" t="n">
        <v>250</v>
      </c>
      <c r="F5" s="2" t="n">
        <v>300</v>
      </c>
      <c r="G5" s="2">
        <f>F5-E5</f>
        <v/>
      </c>
      <c r="H5" s="2">
        <f>IF(G5&lt;0,"RED",IF(OR(I5&lt;&gt;"OK",J5&lt;&gt;"Current",K5="Missing"),"AMBER","GREEN"))</f>
        <v/>
      </c>
      <c r="I5" s="2" t="inlineStr">
        <is>
          <t>OK</t>
        </is>
      </c>
      <c r="J5" s="2" t="inlineStr">
        <is>
          <t>Current</t>
        </is>
      </c>
      <c r="K5" s="2" t="inlineStr">
        <is>
          <t>N/A</t>
        </is>
      </c>
      <c r="L5" s="2">
        <f>IF(G5&lt;0,ABS(G5)*1200,0)</f>
        <v/>
      </c>
      <c r="M5" s="2">
        <f>IF(G5&gt;0,G5*600,0)</f>
        <v/>
      </c>
      <c r="N5" s="2" t="inlineStr">
        <is>
          <t>Reclaim inactive users</t>
        </is>
      </c>
      <c r="O5" s="2" t="inlineStr">
        <is>
          <t>AU surplus</t>
        </is>
      </c>
    </row>
    <row r="6">
      <c r="A6" s="2" t="inlineStr">
        <is>
          <t>SPSS Statistics</t>
        </is>
      </c>
      <c r="B6" s="2" t="inlineStr">
        <is>
          <t>Concurrent</t>
        </is>
      </c>
      <c r="C6" s="2" t="inlineStr">
        <is>
          <t>Concurrent</t>
        </is>
      </c>
      <c r="D6" s="2" t="inlineStr">
        <is>
          <t>License server peak</t>
        </is>
      </c>
      <c r="E6" s="2" t="n">
        <v>25</v>
      </c>
      <c r="F6" s="2" t="n">
        <v>25</v>
      </c>
      <c r="G6" s="2">
        <f>F6-E6</f>
        <v/>
      </c>
      <c r="H6" s="2">
        <f>IF(G6&lt;0,"RED",IF(OR(I6&lt;&gt;"OK",J6&lt;&gt;"Current",K6="Missing"),"AMBER","GREEN"))</f>
        <v/>
      </c>
      <c r="I6" s="2" t="inlineStr">
        <is>
          <t>OK</t>
        </is>
      </c>
      <c r="J6" s="2" t="inlineStr">
        <is>
          <t>Current</t>
        </is>
      </c>
      <c r="K6" s="2" t="inlineStr">
        <is>
          <t>N/A</t>
        </is>
      </c>
      <c r="L6" s="2">
        <f>IF(G6&lt;0,ABS(G6)*900,0)</f>
        <v/>
      </c>
      <c r="M6" s="2">
        <f>IF(G6&gt;0,G6*450,0)</f>
        <v/>
      </c>
      <c r="N6" s="2" t="inlineStr">
        <is>
          <t>Retain peak evidence</t>
        </is>
      </c>
      <c r="O6" s="2" t="inlineStr">
        <is>
          <t>Compliant</t>
        </is>
      </c>
    </row>
  </sheetData>
  <autoFilter ref="A1:O6"/>
  <conditionalFormatting sqref="A2:O6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8" customWidth="1" min="4" max="4"/>
    <col width="12" customWidth="1" min="5" max="5"/>
    <col width="13" customWidth="1" min="6" max="6"/>
    <col width="30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Assumption / Exception</t>
        </is>
      </c>
      <c r="D1" s="3" t="inlineStr">
        <is>
          <t>Impact</t>
        </is>
      </c>
      <c r="E1" s="3" t="inlineStr">
        <is>
          <t>Risk</t>
        </is>
      </c>
      <c r="F1" s="3" t="inlineStr">
        <is>
          <t>Owner</t>
        </is>
      </c>
      <c r="G1" s="3" t="inlineStr">
        <is>
          <t>Evidence</t>
        </is>
      </c>
      <c r="H1" s="3" t="inlineStr">
        <is>
          <t>Due Date</t>
        </is>
      </c>
      <c r="I1" s="3" t="inlineStr">
        <is>
          <t>Status</t>
        </is>
      </c>
    </row>
    <row r="2">
      <c r="A2" s="2" t="inlineStr">
        <is>
          <t>IBM-A1</t>
        </is>
      </c>
      <c r="B2" s="2" t="inlineStr">
        <is>
          <t>ILMT</t>
        </is>
      </c>
      <c r="C2" s="2" t="inlineStr">
        <is>
          <t>WAS-DR-01 missing ILMT coverage; full-cap fallback used.</t>
        </is>
      </c>
      <c r="D2" s="2" t="inlineStr">
        <is>
          <t>Increases consumed PVU</t>
        </is>
      </c>
      <c r="E2" s="2" t="inlineStr">
        <is>
          <t>High</t>
        </is>
      </c>
      <c r="F2" s="2" t="inlineStr">
        <is>
          <t>ILMT Admin</t>
        </is>
      </c>
      <c r="G2" s="2" t="inlineStr">
        <is>
          <t>FNMS device + no ILMT report</t>
        </is>
      </c>
      <c r="H2" s="2" t="inlineStr">
        <is>
          <t>2026-06-15</t>
        </is>
      </c>
      <c r="I2" s="2" t="inlineStr">
        <is>
          <t>Open</t>
        </is>
      </c>
    </row>
    <row r="3">
      <c r="A3" s="2" t="inlineStr">
        <is>
          <t>IBM-A2</t>
        </is>
      </c>
      <c r="B3" s="2" t="inlineStr">
        <is>
          <t>S&amp;S</t>
        </is>
      </c>
      <c r="C3" s="2" t="inlineStr">
        <is>
          <t>Db2 deployed version may exceed S&amp;S version right.</t>
        </is>
      </c>
      <c r="D3" s="2" t="inlineStr">
        <is>
          <t>Version compliance warning</t>
        </is>
      </c>
      <c r="E3" s="2" t="inlineStr">
        <is>
          <t>Medium</t>
        </is>
      </c>
      <c r="F3" s="2" t="inlineStr">
        <is>
          <t>Procurement</t>
        </is>
      </c>
      <c r="G3" s="2" t="inlineStr">
        <is>
          <t>PoE and release date</t>
        </is>
      </c>
      <c r="H3" s="2" t="inlineStr">
        <is>
          <t>2026-06-10</t>
        </is>
      </c>
      <c r="I3" s="2" t="inlineStr">
        <is>
          <t>Open</t>
        </is>
      </c>
    </row>
  </sheetData>
  <autoFilter ref="A1:I3"/>
  <conditionalFormatting sqref="A2:I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4" customWidth="1" min="4" max="4"/>
    <col width="12" customWidth="1" min="5" max="5"/>
    <col width="12" customWidth="1" min="6" max="6"/>
    <col width="22" customWidth="1" min="7" max="7"/>
    <col width="17" customWidth="1" min="8" max="8"/>
    <col width="18" customWidth="1" min="9" max="9"/>
    <col width="18" customWidth="1" min="10" max="10"/>
    <col width="17" customWidth="1" min="11" max="11"/>
    <col width="22" customWidth="1" min="12" max="12"/>
    <col width="19" customWidth="1" min="13" max="13"/>
    <col width="12" customWidth="1" min="14" max="14"/>
    <col width="17" customWidth="1" min="15" max="15"/>
    <col width="23" customWidth="1" min="16" max="16"/>
    <col width="43" customWidth="1" min="17" max="17"/>
    <col width="17" customWidth="1" min="18" max="18"/>
  </cols>
  <sheetData>
    <row r="1">
      <c r="A1" s="3" t="inlineStr">
        <is>
          <t>Source Device</t>
        </is>
      </c>
      <c r="B1" s="3" t="inlineStr">
        <is>
          <t>Discovered Software</t>
        </is>
      </c>
      <c r="C1" s="3" t="inlineStr">
        <is>
          <t>Recognized Application</t>
        </is>
      </c>
      <c r="D1" s="3" t="inlineStr">
        <is>
          <t>Product</t>
        </is>
      </c>
      <c r="E1" s="3" t="inlineStr">
        <is>
          <t>Edition</t>
        </is>
      </c>
      <c r="F1" s="3" t="inlineStr">
        <is>
          <t>Version</t>
        </is>
      </c>
      <c r="G1" s="3" t="inlineStr">
        <is>
          <t>Metric</t>
        </is>
      </c>
      <c r="H1" s="3" t="inlineStr">
        <is>
          <t>Evidence Source</t>
        </is>
      </c>
      <c r="I1" s="3" t="inlineStr">
        <is>
          <t>Inventory Source</t>
        </is>
      </c>
      <c r="J1" s="3" t="inlineStr">
        <is>
          <t>Connector Status</t>
        </is>
      </c>
      <c r="K1" s="3" t="inlineStr">
        <is>
          <t>Linked License</t>
        </is>
      </c>
      <c r="L1" s="3" t="inlineStr">
        <is>
          <t>Entitlement Quantity</t>
        </is>
      </c>
      <c r="M1" s="3" t="inlineStr">
        <is>
          <t>Consumed Quantity</t>
        </is>
      </c>
      <c r="N1" s="3" t="inlineStr">
        <is>
          <t>Position</t>
        </is>
      </c>
      <c r="O1" s="3" t="inlineStr">
        <is>
          <t>ARL/PURL Status</t>
        </is>
      </c>
      <c r="P1" s="3" t="inlineStr">
        <is>
          <t>Reconciliation Status</t>
        </is>
      </c>
      <c r="Q1" s="3" t="inlineStr">
        <is>
          <t>Review Notes</t>
        </is>
      </c>
      <c r="R1" s="3" t="inlineStr">
        <is>
          <t>Action Required</t>
        </is>
      </c>
    </row>
    <row r="2">
      <c r="A2" s="2" t="inlineStr">
        <is>
          <t>WAS-PROD-01</t>
        </is>
      </c>
      <c r="B2" s="2" t="inlineStr">
        <is>
          <t>IBM WebSphere ND 9.0</t>
        </is>
      </c>
      <c r="C2" s="2" t="inlineStr">
        <is>
          <t>WebSphere Application Server Network Deployment</t>
        </is>
      </c>
      <c r="D2" s="2" t="inlineStr">
        <is>
          <t>WebSphere AS</t>
        </is>
      </c>
      <c r="E2" s="2" t="inlineStr">
        <is>
          <t>ND</t>
        </is>
      </c>
      <c r="F2" s="2" t="inlineStr">
        <is>
          <t>9.0.5</t>
        </is>
      </c>
      <c r="G2" s="2" t="inlineStr">
        <is>
          <t>IBM PVU sub-capacity</t>
        </is>
      </c>
      <c r="H2" s="2" t="inlineStr">
        <is>
          <t>IIM + ILMT</t>
        </is>
      </c>
      <c r="I2" s="2" t="inlineStr">
        <is>
          <t>FNMS + ILMT</t>
        </is>
      </c>
      <c r="J2" s="2" t="inlineStr">
        <is>
          <t>Healthy</t>
        </is>
      </c>
      <c r="K2" s="2" t="inlineStr">
        <is>
          <t>WAS ND PVU</t>
        </is>
      </c>
      <c r="L2" s="2" t="n">
        <v>2000</v>
      </c>
      <c r="M2" s="2" t="n">
        <v>3360</v>
      </c>
      <c r="N2" s="2">
        <f>L2-M2</f>
        <v/>
      </c>
      <c r="O2" s="2" t="inlineStr">
        <is>
          <t>Current</t>
        </is>
      </c>
      <c r="P2" s="2" t="inlineStr">
        <is>
          <t>Draft</t>
        </is>
      </c>
      <c r="Q2" s="2" t="inlineStr">
        <is>
          <t>ILMT gap on DR included full-cap fallback</t>
        </is>
      </c>
      <c r="R2" s="2" t="inlineStr">
        <is>
          <t>Validate ILMT</t>
        </is>
      </c>
    </row>
    <row r="3">
      <c r="A3" s="2" t="inlineStr">
        <is>
          <t>MQ-PROD-01</t>
        </is>
      </c>
      <c r="B3" s="2" t="inlineStr">
        <is>
          <t>IBM MQ Advanced</t>
        </is>
      </c>
      <c r="C3" s="2" t="inlineStr">
        <is>
          <t>IBM MQ Advanced</t>
        </is>
      </c>
      <c r="D3" s="2" t="inlineStr">
        <is>
          <t>MQ</t>
        </is>
      </c>
      <c r="E3" s="2" t="inlineStr">
        <is>
          <t>Advanced</t>
        </is>
      </c>
      <c r="F3" s="2" t="inlineStr">
        <is>
          <t>9.2</t>
        </is>
      </c>
      <c r="G3" s="2" t="inlineStr">
        <is>
          <t>IBM PVU sub-capacity</t>
        </is>
      </c>
      <c r="H3" s="2" t="inlineStr">
        <is>
          <t>ILMT</t>
        </is>
      </c>
      <c r="I3" s="2" t="inlineStr">
        <is>
          <t>FNMS + ILMT</t>
        </is>
      </c>
      <c r="J3" s="2" t="inlineStr">
        <is>
          <t>Healthy</t>
        </is>
      </c>
      <c r="K3" s="2" t="inlineStr">
        <is>
          <t>MQ Advanced PVU</t>
        </is>
      </c>
      <c r="L3" s="2" t="n">
        <v>1000</v>
      </c>
      <c r="M3" s="2" t="n">
        <v>560</v>
      </c>
      <c r="N3" s="2">
        <f>L3-M3</f>
        <v/>
      </c>
      <c r="O3" s="2" t="inlineStr">
        <is>
          <t>Current</t>
        </is>
      </c>
      <c r="P3" s="2" t="inlineStr">
        <is>
          <t>Review</t>
        </is>
      </c>
      <c r="Q3" s="2" t="inlineStr">
        <is>
          <t>Surplus</t>
        </is>
      </c>
      <c r="R3" s="2" t="inlineStr">
        <is>
          <t>Optimization</t>
        </is>
      </c>
    </row>
  </sheetData>
  <autoFilter ref="A1:R3"/>
  <conditionalFormatting sqref="A2:R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4" customWidth="1" min="8" max="8"/>
    <col width="12" customWidth="1" min="9" max="9"/>
    <col width="20" customWidth="1" min="10" max="10"/>
    <col width="18" customWidth="1" min="11" max="11"/>
  </cols>
  <sheetData>
    <row r="1">
      <c r="A1" s="3" t="inlineStr">
        <is>
          <t>Computer</t>
        </is>
      </c>
      <c r="B1" s="3" t="inlineStr">
        <is>
          <t>Product</t>
        </is>
      </c>
      <c r="C1" s="3" t="inlineStr">
        <is>
          <t>Metric</t>
        </is>
      </c>
      <c r="D1" s="3" t="inlineStr">
        <is>
          <t>PVU/Core</t>
        </is>
      </c>
      <c r="E1" s="3" t="inlineStr">
        <is>
          <t>Allocated Cores</t>
        </is>
      </c>
      <c r="F1" s="3" t="inlineStr">
        <is>
          <t>90-Day Peak PVU</t>
        </is>
      </c>
      <c r="G1" s="3" t="inlineStr">
        <is>
          <t>Bundled/Charged</t>
        </is>
      </c>
      <c r="H1" s="3" t="inlineStr">
        <is>
          <t>Agent Status</t>
        </is>
      </c>
      <c r="I1" s="3" t="inlineStr">
        <is>
          <t>Last Scan</t>
        </is>
      </c>
      <c r="J1" s="3" t="inlineStr">
        <is>
          <t>Quarterly Snapshot</t>
        </is>
      </c>
      <c r="K1" s="3" t="inlineStr">
        <is>
          <t>Notes</t>
        </is>
      </c>
    </row>
    <row r="2">
      <c r="A2" s="2" t="inlineStr">
        <is>
          <t>WAS-PROD-01</t>
        </is>
      </c>
      <c r="B2" s="2" t="inlineStr">
        <is>
          <t>WebSphere AS ND</t>
        </is>
      </c>
      <c r="C2" s="2" t="inlineStr">
        <is>
          <t>PVU</t>
        </is>
      </c>
      <c r="D2" s="2" t="n">
        <v>70</v>
      </c>
      <c r="E2" s="2" t="n">
        <v>8</v>
      </c>
      <c r="F2" s="2">
        <f>D2*E2</f>
        <v/>
      </c>
      <c r="G2" s="2" t="inlineStr">
        <is>
          <t>Charged</t>
        </is>
      </c>
      <c r="H2" s="2" t="inlineStr">
        <is>
          <t>Reporting</t>
        </is>
      </c>
      <c r="I2" s="2" t="inlineStr">
        <is>
          <t>2026-05-28</t>
        </is>
      </c>
      <c r="J2" s="2" t="inlineStr">
        <is>
          <t>Archived</t>
        </is>
      </c>
      <c r="K2" s="2" t="inlineStr">
        <is>
          <t>Sub-cap eligible</t>
        </is>
      </c>
    </row>
    <row r="3">
      <c r="A3" s="2" t="inlineStr">
        <is>
          <t>MQ-PROD-01</t>
        </is>
      </c>
      <c r="B3" s="2" t="inlineStr">
        <is>
          <t>MQ Advanced</t>
        </is>
      </c>
      <c r="C3" s="2" t="inlineStr">
        <is>
          <t>PVU</t>
        </is>
      </c>
      <c r="D3" s="2" t="n">
        <v>70</v>
      </c>
      <c r="E3" s="2" t="n">
        <v>8</v>
      </c>
      <c r="F3" s="2">
        <f>D3*E3</f>
        <v/>
      </c>
      <c r="G3" s="2" t="inlineStr">
        <is>
          <t>Charged</t>
        </is>
      </c>
      <c r="H3" s="2" t="inlineStr">
        <is>
          <t>Reporting</t>
        </is>
      </c>
      <c r="I3" s="2" t="inlineStr">
        <is>
          <t>2026-05-28</t>
        </is>
      </c>
      <c r="J3" s="2" t="inlineStr">
        <is>
          <t>Archived</t>
        </is>
      </c>
      <c r="K3" s="2" t="inlineStr">
        <is>
          <t>Sub-cap eligible</t>
        </is>
      </c>
    </row>
    <row r="4">
      <c r="A4" s="2" t="inlineStr">
        <is>
          <t>DB2-PROD</t>
        </is>
      </c>
      <c r="B4" s="2" t="inlineStr">
        <is>
          <t>Db2 ESE</t>
        </is>
      </c>
      <c r="C4" s="2" t="inlineStr">
        <is>
          <t>PVU</t>
        </is>
      </c>
      <c r="D4" s="2" t="n">
        <v>120</v>
      </c>
      <c r="E4" s="2" t="n">
        <v>10</v>
      </c>
      <c r="F4" s="2">
        <f>D4*E4</f>
        <v/>
      </c>
      <c r="G4" s="2" t="inlineStr">
        <is>
          <t>Charged</t>
        </is>
      </c>
      <c r="H4" s="2" t="inlineStr">
        <is>
          <t>Reporting</t>
        </is>
      </c>
      <c r="I4" s="2" t="inlineStr">
        <is>
          <t>2026-05-28</t>
        </is>
      </c>
      <c r="J4" s="2" t="inlineStr">
        <is>
          <t>Archived</t>
        </is>
      </c>
      <c r="K4" s="2" t="inlineStr">
        <is>
          <t>POWER LPAR</t>
        </is>
      </c>
    </row>
  </sheetData>
  <autoFilter ref="A1:K4"/>
  <conditionalFormatting sqref="A2:K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33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2" t="inlineStr">
        <is>
          <t>Client Name</t>
        </is>
      </c>
      <c r="B2" s="2" t="inlineStr">
        <is>
          <t>ACME Bank (placeholder)</t>
        </is>
      </c>
      <c r="C2" s="2" t="inlineStr">
        <is>
          <t>Replace for client delivery</t>
        </is>
      </c>
    </row>
    <row r="3">
      <c r="A3" s="2" t="inlineStr">
        <is>
          <t>Reporting Date</t>
        </is>
      </c>
      <c r="B3" s="2" t="inlineStr">
        <is>
          <t>2026-05-28</t>
        </is>
      </c>
      <c r="C3" s="2" t="inlineStr">
        <is>
          <t>Point-in-time ELP</t>
        </is>
      </c>
    </row>
    <row r="4">
      <c r="A4" s="2" t="inlineStr">
        <is>
          <t>Prepared By</t>
        </is>
      </c>
      <c r="B4" s="2" t="inlineStr">
        <is>
          <t>SAM Consultant</t>
        </is>
      </c>
      <c r="C4" s="2" t="inlineStr">
        <is>
          <t>Update owner</t>
        </is>
      </c>
    </row>
    <row r="5">
      <c r="A5" s="2" t="inlineStr">
        <is>
          <t>Products In Scope</t>
        </is>
      </c>
      <c r="B5" s="2" t="inlineStr">
        <is>
          <t>See reconciliation sheet</t>
        </is>
      </c>
      <c r="C5" s="2" t="inlineStr">
        <is>
          <t>Publisher-specific scope</t>
        </is>
      </c>
    </row>
    <row r="6">
      <c r="A6" s="2" t="inlineStr">
        <is>
          <t>Total RED Items</t>
        </is>
      </c>
      <c r="B6" s="2">
        <f>COUNTIF(IBM_ELP_Reconciliation!H:H,"RED")</f>
        <v/>
      </c>
      <c r="C6" s="2" t="inlineStr">
        <is>
          <t>Exposure count</t>
        </is>
      </c>
    </row>
    <row r="7">
      <c r="A7" s="2" t="inlineStr">
        <is>
          <t>Total AMBER Items</t>
        </is>
      </c>
      <c r="B7" s="2">
        <f>COUNTIF(IBM_ELP_Reconciliation!H:H,"AMBER")</f>
        <v/>
      </c>
      <c r="C7" s="2" t="inlineStr">
        <is>
          <t>Control/evidence risk count</t>
        </is>
      </c>
    </row>
    <row r="8">
      <c r="A8" s="2" t="inlineStr">
        <is>
          <t>Total GREEN Items</t>
        </is>
      </c>
      <c r="B8" s="2">
        <f>COUNTIF(IBM_ELP_Reconciliation!H:H,"GREEN")</f>
        <v/>
      </c>
      <c r="C8" s="2" t="inlineStr">
        <is>
          <t>Compliant/surplus count</t>
        </is>
      </c>
    </row>
    <row r="9">
      <c r="A9" s="2" t="inlineStr">
        <is>
          <t>Estimated Exposure</t>
        </is>
      </c>
      <c r="B9" s="2">
        <f>SUM(IBM_ELP_Reconciliation!L:L)</f>
        <v/>
      </c>
      <c r="C9" s="2" t="inlineStr">
        <is>
          <t>Formula sum from reconciliation</t>
        </is>
      </c>
    </row>
    <row r="10">
      <c r="A10" s="2" t="inlineStr">
        <is>
          <t>Estimated Optimization Opportunity</t>
        </is>
      </c>
      <c r="B10" s="2">
        <f>SUM(IBM_ELP_Reconciliation!M:M)</f>
        <v/>
      </c>
      <c r="C10" s="2" t="inlineStr">
        <is>
          <t>Formula-driven where applicable</t>
        </is>
      </c>
    </row>
    <row r="11">
      <c r="A11" s="2" t="inlineStr">
        <is>
          <t>Top 3 Risks</t>
        </is>
      </c>
      <c r="B11" s="2" t="inlineStr">
        <is>
          <t>1. Evidence gap 2. Metric shortfall 3. Contract/version issue</t>
        </is>
      </c>
      <c r="C11" s="2" t="inlineStr">
        <is>
          <t>Customize</t>
        </is>
      </c>
    </row>
    <row r="12">
      <c r="A12" s="2" t="inlineStr">
        <is>
          <t>Top 3 Opportunities</t>
        </is>
      </c>
      <c r="B12" s="2" t="inlineStr">
        <is>
          <t>1. Reclaim surplus 2. Optimize metric 3. Improve governance</t>
        </is>
      </c>
      <c r="C12" s="2" t="inlineStr">
        <is>
          <t>Customize</t>
        </is>
      </c>
    </row>
    <row r="13">
      <c r="A13" s="2" t="inlineStr">
        <is>
          <t>Methodology Notes</t>
        </is>
      </c>
      <c r="B13" s="2" t="inlineStr">
        <is>
          <t>Health check first, reconcile second; assumptions documented.</t>
        </is>
      </c>
      <c r="C13" s="2" t="inlineStr">
        <is>
          <t>Audit defensibility</t>
        </is>
      </c>
    </row>
    <row r="14">
      <c r="A14" s="2" t="inlineStr">
        <is>
          <t>Next Actions</t>
        </is>
      </c>
      <c r="B14" s="2" t="inlineStr">
        <is>
          <t>Validate open assumptions, remediate RED, optimize GREEN surplus.</t>
        </is>
      </c>
      <c r="C14" s="2" t="inlineStr">
        <is>
          <t>30/60/90 roadmap below</t>
        </is>
      </c>
    </row>
    <row r="15">
      <c r="A15" s="2" t="inlineStr">
        <is>
          <t>30-Day Roadmap</t>
        </is>
      </c>
      <c r="B15" s="2" t="inlineStr">
        <is>
          <t>Close data gaps and confirm entitlement sources.</t>
        </is>
      </c>
      <c r="C15" s="2" t="inlineStr"/>
    </row>
    <row r="16">
      <c r="A16" s="2" t="inlineStr">
        <is>
          <t>60-Day Roadmap</t>
        </is>
      </c>
      <c r="B16" s="2" t="inlineStr">
        <is>
          <t>Remediate high-risk deployments and update tool configuration.</t>
        </is>
      </c>
      <c r="C16" s="2" t="inlineStr"/>
    </row>
    <row r="17">
      <c r="A17" s="2" t="inlineStr">
        <is>
          <t>90-Day Roadmap</t>
        </is>
      </c>
      <c r="B17" s="2" t="inlineStr">
        <is>
          <t>Governance, recurring ELP refresh, renewal optimization.</t>
        </is>
      </c>
      <c r="C17" s="2" t="inlineStr"/>
    </row>
  </sheetData>
  <autoFilter ref="A1:C17"/>
  <conditionalFormatting sqref="A2:C1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45" customWidth="1" min="4" max="4"/>
  </cols>
  <sheetData>
    <row r="1">
      <c r="A1" s="3" t="inlineStr">
        <is>
          <t>Processor Family</t>
        </is>
      </c>
      <c r="B1" s="3" t="inlineStr">
        <is>
          <t>Example Model</t>
        </is>
      </c>
      <c r="C1" s="3" t="inlineStr">
        <is>
          <t>PVU/Core</t>
        </is>
      </c>
      <c r="D1" s="3" t="inlineStr">
        <is>
          <t>Notes</t>
        </is>
      </c>
    </row>
    <row r="2">
      <c r="A2" s="2" t="inlineStr">
        <is>
          <t>Intel Xeon Gold</t>
        </is>
      </c>
      <c r="B2" s="2" t="inlineStr">
        <is>
          <t>6248R</t>
        </is>
      </c>
      <c r="C2" s="2" t="n">
        <v>70</v>
      </c>
      <c r="D2" s="2" t="inlineStr">
        <is>
          <t>Illustrative; verify current IBM PVU table.</t>
        </is>
      </c>
    </row>
    <row r="3">
      <c r="A3" s="2" t="inlineStr">
        <is>
          <t>Intel Xeon Platinum</t>
        </is>
      </c>
      <c r="B3" s="2" t="inlineStr">
        <is>
          <t>8268</t>
        </is>
      </c>
      <c r="C3" s="2" t="n">
        <v>70</v>
      </c>
      <c r="D3" s="2" t="inlineStr">
        <is>
          <t>Illustrative.</t>
        </is>
      </c>
    </row>
    <row r="4">
      <c r="A4" s="2" t="inlineStr">
        <is>
          <t>AMD EPYC</t>
        </is>
      </c>
      <c r="B4" s="2" t="inlineStr">
        <is>
          <t>Rome/Milan</t>
        </is>
      </c>
      <c r="C4" s="2" t="n">
        <v>70</v>
      </c>
      <c r="D4" s="2" t="inlineStr">
        <is>
          <t>Illustrative.</t>
        </is>
      </c>
    </row>
    <row r="5">
      <c r="A5" s="2" t="inlineStr">
        <is>
          <t>IBM POWER9</t>
        </is>
      </c>
      <c r="B5" s="2" t="inlineStr">
        <is>
          <t>POWER9</t>
        </is>
      </c>
      <c r="C5" s="2" t="n">
        <v>120</v>
      </c>
      <c r="D5" s="2" t="inlineStr">
        <is>
          <t>Higher PVU/core than Intel.</t>
        </is>
      </c>
    </row>
    <row r="6">
      <c r="A6" s="2" t="inlineStr">
        <is>
          <t>IBM POWER10</t>
        </is>
      </c>
      <c r="B6" s="2" t="inlineStr">
        <is>
          <t>POWER10</t>
        </is>
      </c>
      <c r="C6" s="2" t="n">
        <v>120</v>
      </c>
      <c r="D6" s="2" t="inlineStr">
        <is>
          <t>Verify current table.</t>
        </is>
      </c>
    </row>
  </sheetData>
  <autoFilter ref="A1:D6"/>
  <conditionalFormatting sqref="A2:D6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2026-05-28T10:59:24Z</dcterms:created>
  <dcterms:modified xmlns:dcterms="http://purl.org/dc/terms/" xmlns:xsi="http://www.w3.org/2001/XMLSchema-instance" xsi:type="dcterms:W3CDTF">2026-05-28T10:59:24Z</dcterms:modified>
</cp:coreProperties>
</file>